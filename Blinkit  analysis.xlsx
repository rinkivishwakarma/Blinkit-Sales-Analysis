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d.docs.live.net/FC0460BAA16BC45E/Desktop/"/>
    </mc:Choice>
  </mc:AlternateContent>
  <xr:revisionPtr revIDLastSave="0" documentId="13_ncr:1_{FD855058-8AD5-4F62-B03F-1947EFF615B3}" xr6:coauthVersionLast="47" xr6:coauthVersionMax="47" xr10:uidLastSave="{00000000-0000-0000-0000-000000000000}"/>
  <bookViews>
    <workbookView xWindow="-108" yWindow="-108" windowWidth="23256" windowHeight="12456" activeTab="2" xr2:uid="{F8420BDF-C08E-4FBB-891B-F574F63AC6D0}"/>
  </bookViews>
  <sheets>
    <sheet name="Sheets Design" sheetId="2" r:id="rId1"/>
    <sheet name="Dashboard" sheetId="3" r:id="rId2"/>
    <sheet name="BlinkIT Grocery Data" sheetId="1" r:id="rId3"/>
  </sheets>
  <definedNames>
    <definedName name="_xlchart.v2.0" hidden="1">'Sheets Design'!$D$77:$D$79</definedName>
    <definedName name="_xlchart.v2.1" hidden="1">'Sheets Design'!$E$76</definedName>
    <definedName name="_xlchart.v2.2" hidden="1">'Sheets Design'!$E$77:$E$79</definedName>
    <definedName name="_xlchart.v2.3" hidden="1">'Sheets Design'!$D$77:$D$79</definedName>
    <definedName name="_xlchart.v2.4" hidden="1">'Sheets Design'!$E$76</definedName>
    <definedName name="_xlchart.v2.5" hidden="1">'Sheets Design'!$E$77:$E$79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8" i="2" l="1"/>
  <c r="D79" i="2"/>
  <c r="D77" i="2"/>
  <c r="D8" i="2"/>
  <c r="B8" i="2"/>
  <c r="A8" i="2"/>
  <c r="E79" i="2"/>
  <c r="E77" i="2"/>
  <c r="C8" i="2"/>
  <c r="E78" i="2"/>
</calcChain>
</file>

<file path=xl/sharedStrings.xml><?xml version="1.0" encoding="utf-8"?>
<sst xmlns="http://schemas.openxmlformats.org/spreadsheetml/2006/main" count="59752" uniqueCount="1632">
  <si>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</si>
  <si>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</si>
  <si>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</si>
  <si>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</si>
  <si>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</si>
  <si>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</si>
  <si>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</si>
  <si>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</si>
  <si>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</si>
  <si>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</si>
  <si>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</si>
  <si>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</si>
  <si>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</si>
  <si>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</si>
  <si>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</si>
  <si>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</si>
  <si>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</si>
  <si>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</si>
  <si>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</si>
  <si>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</si>
  <si>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</si>
  <si>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</si>
  <si>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</si>
  <si>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</si>
  <si>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</si>
  <si>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</si>
  <si>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</si>
  <si>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</si>
  <si>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</si>
  <si>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</si>
  <si>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</si>
  <si>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</si>
  <si>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</si>
  <si>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</si>
  <si>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</si>
  <si>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</si>
  <si>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</si>
  <si>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</si>
  <si>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</si>
  <si>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</si>
  <si>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</si>
  <si>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</si>
  <si>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</si>
  <si>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</si>
  <si>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</si>
  <si>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</si>
  <si>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</si>
  <si>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</si>
  <si>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</si>
  <si>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</si>
  <si>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</si>
  <si>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</si>
  <si>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</si>
  <si>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</si>
  <si>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</si>
  <si>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</si>
  <si>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</si>
  <si>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</si>
  <si>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</si>
  <si>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</si>
  <si>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</si>
  <si>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</si>
  <si>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</si>
  <si>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</si>
  <si>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</si>
  <si>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</si>
  <si>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</si>
  <si>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</si>
  <si>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</si>
  <si>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</si>
  <si>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</si>
  <si>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</si>
  <si>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</si>
  <si>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</si>
  <si>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</si>
  <si>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</si>
  <si>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</si>
  <si>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</si>
  <si>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</si>
  <si>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</si>
  <si>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</si>
  <si>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</si>
  <si>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</si>
  <si>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</si>
  <si>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</si>
  <si>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</si>
  <si>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</si>
  <si>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</si>
  <si>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</si>
  <si>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</si>
  <si>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</si>
  <si>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</si>
  <si>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</si>
  <si>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</si>
  <si>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</si>
  <si>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</si>
  <si>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</si>
  <si>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</si>
  <si>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</si>
  <si>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</si>
  <si>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</si>
  <si>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</si>
  <si>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</si>
  <si>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</si>
  <si>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</si>
  <si>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</si>
  <si>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</si>
  <si>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</si>
  <si>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</si>
  <si>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</si>
  <si>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</si>
  <si>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</si>
  <si>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</si>
  <si>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</si>
  <si>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</si>
  <si>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</si>
  <si>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</si>
  <si>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</si>
  <si>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</si>
  <si>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</si>
  <si>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</si>
  <si>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</si>
  <si>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</si>
  <si>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</si>
  <si>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</si>
  <si>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</si>
  <si>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</si>
  <si>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</si>
  <si>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</si>
  <si>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</si>
  <si>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</si>
  <si>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</si>
  <si>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</si>
  <si>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</si>
  <si>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</si>
  <si>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</si>
  <si>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</si>
  <si>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</si>
  <si>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</si>
  <si>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</si>
  <si>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</si>
  <si>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</si>
  <si>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</si>
  <si>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</si>
  <si>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</si>
  <si>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</si>
  <si>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</si>
  <si>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</si>
  <si>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</si>
  <si>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</si>
  <si>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</si>
  <si>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</si>
  <si>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</si>
  <si>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</si>
  <si>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</si>
  <si>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</si>
  <si>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</si>
  <si>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</si>
  <si>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</si>
  <si>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</si>
  <si>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</si>
  <si>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</si>
  <si>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</si>
  <si>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</si>
  <si>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</si>
  <si>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</si>
  <si>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</si>
  <si>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</si>
  <si>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</si>
  <si>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</si>
  <si>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</si>
  <si>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</si>
  <si>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</si>
  <si>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</si>
  <si>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</si>
  <si>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</si>
  <si>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</si>
  <si>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</si>
  <si>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</si>
  <si>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</si>
  <si>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</si>
  <si>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</si>
  <si>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</si>
  <si>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</si>
  <si>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</si>
  <si>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</si>
  <si>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</si>
  <si>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</si>
  <si>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</si>
  <si>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</si>
  <si>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</si>
  <si>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</si>
  <si>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</si>
  <si>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</si>
  <si>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</si>
  <si>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</si>
  <si>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</si>
  <si>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</si>
  <si>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</si>
  <si>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</si>
  <si>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</si>
  <si>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</si>
  <si>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</si>
  <si>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</si>
  <si>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</si>
  <si>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</si>
  <si>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</si>
  <si>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</si>
  <si>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</si>
  <si>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</si>
  <si>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</si>
  <si>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</si>
  <si>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</si>
  <si>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</si>
  <si>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</si>
  <si>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</si>
  <si>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</si>
  <si>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</si>
  <si>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</si>
  <si>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</si>
  <si>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</si>
  <si>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</si>
  <si>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</si>
  <si>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</si>
  <si>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</si>
  <si>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</si>
  <si>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</si>
  <si>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</si>
  <si>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</si>
  <si>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</si>
  <si>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</si>
  <si>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</si>
  <si>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</si>
  <si>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</si>
  <si>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</si>
  <si>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</si>
  <si>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</si>
  <si>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</si>
  <si>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</si>
  <si>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</si>
  <si>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</si>
  <si>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</si>
  <si>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</si>
  <si>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</si>
  <si>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</si>
  <si>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</si>
  <si>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</si>
  <si>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</si>
  <si>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</si>
  <si>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</si>
  <si>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</si>
  <si>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</si>
  <si>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</si>
  <si>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</si>
  <si>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</si>
  <si>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</si>
  <si>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</si>
  <si>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</si>
  <si>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</si>
  <si>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</si>
  <si>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</si>
  <si>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</si>
  <si>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</si>
  <si>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</si>
  <si>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</si>
  <si>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</si>
  <si>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</si>
  <si>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</si>
  <si>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</si>
  <si>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</si>
  <si>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</si>
  <si>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</si>
  <si>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</si>
  <si>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</si>
  <si>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</si>
  <si>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</si>
  <si>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</si>
  <si>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</si>
  <si>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</si>
  <si>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</si>
  <si>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</si>
  <si>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</si>
  <si>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</si>
  <si>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</si>
  <si>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</si>
  <si>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</si>
  <si>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</si>
  <si>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</si>
  <si>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</si>
  <si>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</si>
  <si>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</si>
  <si>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</si>
  <si>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</si>
  <si>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</si>
  <si>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</si>
  <si>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</si>
  <si>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</si>
  <si>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</si>
  <si>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</si>
  <si>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</si>
  <si>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</si>
  <si>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</si>
  <si>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</si>
  <si>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</si>
  <si>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</si>
  <si>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</si>
  <si>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</si>
  <si>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</si>
  <si>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</si>
  <si>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</si>
  <si>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</si>
  <si>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</si>
  <si>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</si>
  <si>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</si>
  <si>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</si>
  <si>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</si>
  <si>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</si>
  <si>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</si>
  <si>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</si>
  <si>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</si>
  <si>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</si>
  <si>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</si>
  <si>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</si>
  <si>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</si>
  <si>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</si>
  <si>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</si>
  <si>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</si>
  <si>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</si>
  <si>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</si>
  <si>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</si>
  <si>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</si>
  <si>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</si>
  <si>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</si>
  <si>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</si>
  <si>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</si>
  <si>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</si>
  <si>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</si>
  <si>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</si>
  <si>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</si>
  <si>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</si>
  <si>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</si>
  <si>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</si>
  <si>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</si>
  <si>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</si>
  <si>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</si>
  <si>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</si>
  <si>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</si>
  <si>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</si>
  <si>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</si>
  <si>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</si>
  <si>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</si>
  <si>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</si>
  <si>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</si>
  <si>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</si>
  <si>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</si>
  <si>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</si>
  <si>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</si>
  <si>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</si>
  <si>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</si>
  <si>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</si>
  <si>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</si>
  <si>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</si>
  <si>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</si>
  <si>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</si>
  <si>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</si>
  <si>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</si>
  <si>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</si>
  <si>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</si>
  <si>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</si>
  <si>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</si>
  <si>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</si>
  <si>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</si>
  <si>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</si>
  <si>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</si>
  <si>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</si>
  <si>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</si>
  <si>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</si>
  <si>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</si>
  <si>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</si>
  <si>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</si>
  <si>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</si>
  <si>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</si>
  <si>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</si>
  <si>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</si>
  <si>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</si>
  <si>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</si>
  <si>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</si>
  <si>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</si>
  <si>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</si>
  <si>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</si>
  <si>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</si>
  <si>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</si>
  <si>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</si>
  <si>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</si>
  <si>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</si>
  <si>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</si>
  <si>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</si>
  <si>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</si>
  <si>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</si>
  <si>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</si>
  <si>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</si>
  <si>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</si>
  <si>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</si>
  <si>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</si>
  <si>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</si>
  <si>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</si>
  <si>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</si>
  <si>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</si>
  <si>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</si>
  <si>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</si>
  <si>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</si>
  <si>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</si>
  <si>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</si>
  <si>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</si>
  <si>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</si>
  <si>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</si>
  <si>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</si>
  <si>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</si>
  <si>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</si>
  <si>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</si>
  <si>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</si>
  <si>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</si>
  <si>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</si>
  <si>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</si>
  <si>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</si>
  <si>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</si>
  <si>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</si>
  <si>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</si>
  <si>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</si>
  <si>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</si>
  <si>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</si>
  <si>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</si>
  <si>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</si>
  <si>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</si>
  <si>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</si>
  <si>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</si>
  <si>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</si>
  <si>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</si>
  <si>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</si>
  <si>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</si>
  <si>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</si>
  <si>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</si>
  <si>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</si>
  <si>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</si>
  <si>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</si>
  <si>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</si>
  <si>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</si>
  <si>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</si>
  <si>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</si>
  <si>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</si>
  <si>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</si>
  <si>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</si>
  <si>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</si>
  <si>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</si>
  <si>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</si>
  <si>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</si>
  <si>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</si>
  <si>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</si>
  <si>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</si>
  <si>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</si>
  <si>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</si>
  <si>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</si>
  <si>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</si>
  <si>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</si>
  <si>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</si>
  <si>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</si>
  <si>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</si>
  <si>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</si>
  <si>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</si>
  <si>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</si>
  <si>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</si>
  <si>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</si>
  <si>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</si>
  <si>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</si>
  <si>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</si>
  <si>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</si>
  <si>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</si>
  <si>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</si>
  <si>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</si>
  <si>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</si>
  <si>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</si>
  <si>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</si>
  <si>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</si>
  <si>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</si>
  <si>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</si>
  <si>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</si>
  <si>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</si>
  <si>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</si>
  <si>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</si>
  <si>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</si>
  <si>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</si>
  <si>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</si>
  <si>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</si>
  <si>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</si>
  <si>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</si>
  <si>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</si>
  <si>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</si>
  <si>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</si>
  <si>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</si>
  <si>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</si>
  <si>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</si>
  <si>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</si>
  <si>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</si>
  <si>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</si>
  <si>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</si>
  <si>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</si>
  <si>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</si>
  <si>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</si>
  <si>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</si>
  <si>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</si>
  <si>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</si>
  <si>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</si>
  <si>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</si>
  <si>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</si>
  <si>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</si>
  <si>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</si>
  <si>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</si>
  <si>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</si>
  <si>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</si>
  <si>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</si>
  <si>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</si>
  <si>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</si>
  <si>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</si>
  <si>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</si>
  <si>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</si>
  <si>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</si>
  <si>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</si>
  <si>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</si>
  <si>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</si>
  <si>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</si>
  <si>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</si>
  <si>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</si>
  <si>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</si>
  <si>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</si>
  <si>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</si>
  <si>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</si>
  <si>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</si>
  <si>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</si>
  <si>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</si>
  <si>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</si>
  <si>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</si>
  <si>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</si>
  <si>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</si>
  <si>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</si>
  <si>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</si>
  <si>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</si>
  <si>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</si>
  <si>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</si>
  <si>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</si>
  <si>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</si>
  <si>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</si>
  <si>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</si>
  <si>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</si>
  <si>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</si>
  <si>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</si>
  <si>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</si>
  <si>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</si>
  <si>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</si>
  <si>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</si>
  <si>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</si>
  <si>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</si>
  <si>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</si>
  <si>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</si>
  <si>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</si>
  <si>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</si>
  <si>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</si>
  <si>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</si>
  <si>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</si>
  <si>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</si>
  <si>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</si>
  <si>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</si>
  <si>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</si>
  <si>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</si>
  <si>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</si>
  <si>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</si>
  <si>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</si>
  <si>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</si>
  <si>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</si>
  <si>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</si>
  <si>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</si>
  <si>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</si>
  <si>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</si>
  <si>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</si>
  <si>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</si>
  <si>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</si>
  <si>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</si>
  <si>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</si>
  <si>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</si>
  <si>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</si>
  <si>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</si>
  <si>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</si>
  <si>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</si>
  <si>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</si>
  <si>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</si>
  <si>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</si>
  <si>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</si>
  <si>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</si>
  <si>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</si>
  <si>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</si>
  <si>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</si>
  <si>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</si>
  <si>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</si>
  <si>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</si>
  <si>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</si>
  <si>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</si>
  <si>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</si>
  <si>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</si>
  <si>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</si>
  <si>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</si>
  <si>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</si>
  <si>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</si>
  <si>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</si>
  <si>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</si>
  <si>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</si>
  <si>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</si>
  <si>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</si>
  <si>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</si>
  <si>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</si>
  <si>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</si>
  <si>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</si>
  <si>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</si>
  <si>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</si>
  <si>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</si>
  <si>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</si>
  <si>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</si>
  <si>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</si>
  <si>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</si>
  <si>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</si>
  <si>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</si>
  <si>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</si>
  <si>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</si>
  <si>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</si>
  <si>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</si>
  <si>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</si>
  <si>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</si>
  <si>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</si>
  <si>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</si>
  <si>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</si>
  <si>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</si>
  <si>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</si>
  <si>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</si>
  <si>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</si>
  <si>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</si>
  <si>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</si>
  <si>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</si>
  <si>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</si>
  <si>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</si>
  <si>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</si>
  <si>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</si>
  <si>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</si>
  <si>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</si>
  <si>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</si>
  <si>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</si>
  <si>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</si>
  <si>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</si>
  <si>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</si>
  <si>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</si>
  <si>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</si>
  <si>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</si>
  <si>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</si>
  <si>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</si>
  <si>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</si>
  <si>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</si>
  <si>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</si>
  <si>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</si>
  <si>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</si>
  <si>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</si>
  <si>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</si>
  <si>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</si>
  <si>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</si>
  <si>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</si>
  <si>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</si>
  <si>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</si>
  <si>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</si>
  <si>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</si>
  <si>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</si>
  <si>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</si>
  <si>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</si>
  <si>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</si>
  <si>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</si>
  <si>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</si>
  <si>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</si>
  <si>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</si>
  <si>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</si>
  <si>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</si>
  <si>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</si>
  <si>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</si>
  <si>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</si>
  <si>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</si>
  <si>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</si>
  <si>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</si>
  <si>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</si>
  <si>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</si>
  <si>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</si>
  <si>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</si>
  <si>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</si>
  <si>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</si>
  <si>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</si>
  <si>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</si>
  <si>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</si>
  <si>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</si>
  <si>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</si>
  <si>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</si>
  <si>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</si>
  <si>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</si>
  <si>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</si>
  <si>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</si>
  <si>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</si>
  <si>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</si>
  <si>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</si>
  <si>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</si>
  <si>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</si>
  <si>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</si>
  <si>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</si>
  <si>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</si>
  <si>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</si>
  <si>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</si>
  <si>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</si>
  <si>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</si>
  <si>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</si>
  <si>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</si>
  <si>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</si>
  <si>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</si>
  <si>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</si>
  <si>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</si>
  <si>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</si>
  <si>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</si>
  <si>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</si>
  <si>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</si>
  <si>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</si>
  <si>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</si>
  <si>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</si>
  <si>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</si>
  <si>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</si>
  <si>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</si>
  <si>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</si>
  <si>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</si>
  <si>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</si>
  <si>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</si>
  <si>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</si>
  <si>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</si>
  <si>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</si>
  <si>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</si>
  <si>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</si>
  <si>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</si>
  <si>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</si>
  <si>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</si>
  <si>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</si>
  <si>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</si>
  <si>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</si>
  <si>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</si>
  <si>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</si>
  <si>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</si>
  <si>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</si>
  <si>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</si>
  <si>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</si>
  <si>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</si>
  <si>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</si>
  <si>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</si>
  <si>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</si>
  <si>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</si>
  <si>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</si>
  <si>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</si>
  <si>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</si>
  <si>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</si>
  <si>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</si>
  <si>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</si>
  <si>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</si>
  <si>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</si>
  <si>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</si>
  <si>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</si>
  <si>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</si>
  <si>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</si>
  <si>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</si>
  <si>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</si>
  <si>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</si>
  <si>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</si>
  <si>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</si>
  <si>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</si>
  <si>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</si>
  <si>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</si>
  <si>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</si>
  <si>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</si>
  <si>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</si>
  <si>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</si>
  <si>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</si>
  <si>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</si>
  <si>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</si>
  <si>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</si>
  <si>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</si>
  <si>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</si>
  <si>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</si>
  <si>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</si>
  <si>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</si>
  <si>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</si>
  <si>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</si>
  <si>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</si>
  <si>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</si>
  <si>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</si>
  <si>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</si>
  <si>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</si>
  <si>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</si>
  <si>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</si>
  <si>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</si>
  <si>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</si>
  <si>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</si>
  <si>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</si>
  <si>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</si>
  <si>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</si>
  <si>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</si>
  <si>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</si>
  <si>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</si>
  <si>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</si>
  <si>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</si>
  <si>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</si>
  <si>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</si>
  <si>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</si>
  <si>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</si>
  <si>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</si>
  <si>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</si>
  <si>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</si>
  <si>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</si>
  <si>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</si>
  <si>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</si>
  <si>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</si>
  <si>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</si>
  <si>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</si>
  <si>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</si>
  <si>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</si>
  <si>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</si>
  <si>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</si>
  <si>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</si>
  <si>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</si>
  <si>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</si>
  <si>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</si>
  <si>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</si>
  <si>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</si>
  <si>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</si>
  <si>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</si>
  <si>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</si>
  <si>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</si>
  <si>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</si>
  <si>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</si>
  <si>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</si>
  <si>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</si>
  <si>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</si>
  <si>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</si>
  <si>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</si>
  <si>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</si>
  <si>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</si>
  <si>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</si>
  <si>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</si>
  <si>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</si>
  <si>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</si>
  <si>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</si>
  <si>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</si>
  <si>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</si>
  <si>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</si>
  <si>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</si>
  <si>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</si>
  <si>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</si>
  <si>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</si>
  <si>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</si>
  <si>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</si>
  <si>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</si>
  <si>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</si>
  <si>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</si>
  <si>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</si>
  <si>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</si>
  <si>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</si>
  <si>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</si>
  <si>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</si>
  <si>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</si>
  <si>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</si>
  <si>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</si>
  <si>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</si>
  <si>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</si>
  <si>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</si>
  <si>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</si>
  <si>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</si>
  <si>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</si>
  <si>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</si>
  <si>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</si>
  <si>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</si>
  <si>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</si>
  <si>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</si>
  <si>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</si>
  <si>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</si>
  <si>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</si>
  <si>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</si>
  <si>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</si>
  <si>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</si>
  <si>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</si>
  <si>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</si>
  <si>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</si>
  <si>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</si>
  <si>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</si>
  <si>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</si>
  <si>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</si>
  <si>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</si>
  <si>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</si>
  <si>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</si>
  <si>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</si>
  <si>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</si>
  <si>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</si>
  <si>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</si>
  <si>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</si>
  <si>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</si>
  <si>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</si>
  <si>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</si>
  <si>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</si>
  <si>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</si>
  <si>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</si>
  <si>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</si>
  <si>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</si>
  <si>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</si>
  <si>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</si>
  <si>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</si>
  <si>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</si>
  <si>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</si>
  <si>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</si>
  <si>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</si>
  <si>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</si>
  <si>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</si>
  <si>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</si>
  <si>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</si>
  <si>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</si>
  <si>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</si>
  <si>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</si>
  <si>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</si>
  <si>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</si>
  <si>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</si>
  <si>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</si>
  <si>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</si>
  <si>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</si>
  <si>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</si>
  <si>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</si>
  <si>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</si>
  <si>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</si>
  <si>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</si>
  <si>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</si>
  <si>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</si>
  <si>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</si>
  <si>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</si>
  <si>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</si>
  <si>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</si>
  <si>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</si>
  <si>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</si>
  <si>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</si>
  <si>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</si>
  <si>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</si>
  <si>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</si>
  <si>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</si>
  <si>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</si>
  <si>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</si>
  <si>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</si>
  <si>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</si>
  <si>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</si>
  <si>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</si>
  <si>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</si>
  <si>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</si>
  <si>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</si>
  <si>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</si>
  <si>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</si>
  <si>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</si>
  <si>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</si>
  <si>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</si>
  <si>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</si>
  <si>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</si>
  <si>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</si>
  <si>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</si>
  <si>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</si>
  <si>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</si>
  <si>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</si>
  <si>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</si>
  <si>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</si>
  <si>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</si>
  <si>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</si>
  <si>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</si>
  <si>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</si>
  <si>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</si>
  <si>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</si>
  <si>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</si>
  <si>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</si>
  <si>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</si>
  <si>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</si>
  <si>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</si>
  <si>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</si>
  <si>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</si>
  <si>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</si>
  <si>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</si>
  <si>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</si>
  <si>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</si>
  <si>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</si>
  <si>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</si>
  <si>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</si>
  <si>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</si>
  <si>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</si>
  <si>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</si>
  <si>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</si>
  <si>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</si>
  <si>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</si>
  <si>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</si>
  <si>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</si>
  <si>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</si>
  <si>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</si>
  <si>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</si>
  <si>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</si>
  <si>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</si>
  <si>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</si>
  <si>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</si>
  <si>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</si>
  <si>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</si>
  <si>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</si>
  <si>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</si>
  <si>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</si>
  <si>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</si>
  <si>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</si>
  <si>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</si>
  <si>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</si>
  <si>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</si>
  <si>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</si>
  <si>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</si>
  <si>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</si>
  <si>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</si>
  <si>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</si>
  <si>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</si>
  <si>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</si>
  <si>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</si>
  <si>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</si>
  <si>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</si>
  <si>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</si>
  <si>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</si>
  <si>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</si>
  <si>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</si>
  <si>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</si>
  <si>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</si>
  <si>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</si>
  <si>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</si>
  <si>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</si>
  <si>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</si>
  <si>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</si>
  <si>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</si>
  <si>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</si>
  <si>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</si>
  <si>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</si>
  <si>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</si>
  <si>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</si>
  <si>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</si>
  <si>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</si>
  <si>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</si>
  <si>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</si>
  <si>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</si>
  <si>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</si>
  <si>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</si>
  <si>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</si>
  <si>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</si>
  <si>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</si>
  <si>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</si>
  <si>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</si>
  <si>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</si>
  <si>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</si>
  <si>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</si>
  <si>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</si>
  <si>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</si>
  <si>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</si>
  <si>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</si>
  <si>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</si>
  <si>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</si>
  <si>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</si>
  <si>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</si>
  <si>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</si>
  <si>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</si>
  <si>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</si>
  <si>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</si>
  <si>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</si>
  <si>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</si>
  <si>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</si>
  <si>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</si>
  <si>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</si>
  <si>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</si>
  <si>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</si>
  <si>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</si>
  <si>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</si>
  <si>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</si>
  <si>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</si>
  <si>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</si>
  <si>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</si>
  <si>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</si>
  <si>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</si>
  <si>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</si>
  <si>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</si>
  <si>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</si>
  <si>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</si>
  <si>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</si>
  <si>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</si>
  <si>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</si>
  <si>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</si>
  <si>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</si>
  <si>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</si>
  <si>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</si>
  <si>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</si>
  <si>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</si>
  <si>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</si>
  <si>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</si>
  <si>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</si>
  <si>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</si>
  <si>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</si>
  <si>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</si>
  <si>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</si>
  <si>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</si>
  <si>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</si>
  <si>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</si>
  <si>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</si>
  <si>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</si>
  <si>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</si>
  <si>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</si>
  <si>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</si>
  <si>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</si>
  <si>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</si>
  <si>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</si>
  <si>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</si>
  <si>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</si>
  <si>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</si>
  <si>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</si>
  <si>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</si>
  <si>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</si>
  <si>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</si>
  <si>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</si>
  <si>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</si>
  <si>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</si>
  <si>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</si>
  <si>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</si>
  <si>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</si>
  <si>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</si>
  <si>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</si>
  <si>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</si>
  <si>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</si>
  <si>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</si>
  <si>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</si>
  <si>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</si>
  <si>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</si>
  <si>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</si>
  <si>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</si>
  <si>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</si>
  <si>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</si>
  <si>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</si>
  <si>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</si>
  <si>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</si>
  <si>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</si>
  <si>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</si>
  <si>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</si>
  <si>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</si>
  <si>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</si>
  <si>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</si>
  <si>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</si>
  <si>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</si>
  <si>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</si>
  <si>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</si>
  <si>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</si>
  <si>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</si>
  <si>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</si>
  <si>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</si>
  <si>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</si>
  <si>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</si>
  <si>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</si>
  <si>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</si>
  <si>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</si>
  <si>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</si>
  <si>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</si>
  <si>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</si>
  <si>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</si>
  <si>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</si>
  <si>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</si>
  <si>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</si>
  <si>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</si>
  <si>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</si>
  <si>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</si>
  <si>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</si>
  <si>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</si>
  <si>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</si>
  <si>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</si>
  <si>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</si>
  <si>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</si>
  <si>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</si>
  <si>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</si>
  <si>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</si>
  <si>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</si>
  <si>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</si>
  <si>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</si>
  <si>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</si>
  <si>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</si>
  <si>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</si>
  <si>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</si>
  <si>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</si>
  <si>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</si>
  <si>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</si>
  <si>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</si>
  <si>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</si>
  <si>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</si>
  <si>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</si>
  <si>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</si>
  <si>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</si>
  <si>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</si>
  <si>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</si>
  <si>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</si>
  <si>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</si>
  <si>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</si>
  <si>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</si>
  <si>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</si>
  <si>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</si>
  <si>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</si>
  <si>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</si>
  <si>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</si>
  <si>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</si>
  <si>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</si>
  <si>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</si>
  <si>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</si>
  <si>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</si>
  <si>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</si>
  <si>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</si>
  <si>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</si>
  <si>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</si>
  <si>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</si>
  <si>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</si>
  <si>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</si>
  <si>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</si>
  <si>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</si>
  <si>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</si>
  <si>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</si>
  <si>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</si>
  <si>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</si>
  <si>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</si>
  <si>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</si>
  <si>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</si>
  <si>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</si>
  <si>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</si>
  <si>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</si>
  <si>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</si>
  <si>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</si>
  <si>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</si>
  <si>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</si>
  <si>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</si>
  <si>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</si>
  <si>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</si>
  <si>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</si>
  <si>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</si>
  <si>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</si>
  <si>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</si>
  <si>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</si>
  <si>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</si>
  <si>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</si>
  <si>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</si>
  <si>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</si>
  <si>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</si>
  <si>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</si>
  <si>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</si>
  <si>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</si>
  <si>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</si>
  <si>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</si>
  <si>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</si>
  <si>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</si>
  <si>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</si>
  <si>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</si>
  <si>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</si>
  <si>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</si>
  <si>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</si>
  <si>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</si>
  <si>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</si>
  <si>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</si>
  <si>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</si>
  <si>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</si>
  <si>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</si>
  <si>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</si>
  <si>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</si>
  <si>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</si>
  <si>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</si>
  <si>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</si>
  <si>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</si>
  <si>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</si>
  <si>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</si>
  <si>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</si>
  <si>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</si>
  <si>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</si>
  <si>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</si>
  <si>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</si>
  <si>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</si>
  <si>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</si>
  <si>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</si>
  <si>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</si>
  <si>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</si>
  <si>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</si>
  <si>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</si>
  <si>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</si>
  <si>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</si>
  <si>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</si>
  <si>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</si>
  <si>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</si>
  <si>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</si>
  <si>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</si>
  <si>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</si>
  <si>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</si>
  <si>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</si>
  <si>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</si>
  <si>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</si>
  <si>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</si>
  <si>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</si>
  <si>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</si>
  <si>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</si>
  <si>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</si>
  <si>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</si>
  <si>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</si>
  <si>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</si>
  <si>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</si>
  <si>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</si>
  <si>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</si>
  <si>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</si>
  <si>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</si>
  <si>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</si>
  <si>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</si>
  <si>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</si>
  <si>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</si>
  <si>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</si>
  <si>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</si>
  <si>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</si>
  <si>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</si>
  <si>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</si>
  <si>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</si>
  <si>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</si>
  <si>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</si>
  <si>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</si>
  <si>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</si>
  <si>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</si>
  <si>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</si>
  <si>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</si>
  <si>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</si>
  <si>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</si>
  <si>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</si>
  <si>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</si>
  <si>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</si>
  <si>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</si>
  <si>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</si>
  <si>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</si>
  <si>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</si>
  <si>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</si>
  <si>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</si>
  <si>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</si>
  <si>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</si>
  <si>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</si>
  <si>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</si>
  <si>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</si>
  <si>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</si>
  <si>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</si>
  <si>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</si>
  <si>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</si>
  <si>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</si>
  <si>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</si>
  <si>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</si>
  <si>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</si>
  <si>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</si>
  <si>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</si>
  <si>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</si>
  <si>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</si>
  <si>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</si>
  <si>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</si>
  <si>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</si>
  <si>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</si>
  <si>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</si>
  <si>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</si>
  <si>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</si>
  <si>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</si>
  <si>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</si>
  <si>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</si>
  <si>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</si>
  <si>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</si>
  <si>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</si>
  <si>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</si>
  <si>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</si>
  <si>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</si>
  <si>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</si>
  <si>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</si>
  <si>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</si>
  <si>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</si>
  <si>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</si>
  <si>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</si>
  <si>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</si>
  <si>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</si>
  <si>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</si>
  <si>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</si>
  <si>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</si>
  <si>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</si>
  <si>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</si>
  <si>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</si>
  <si>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</si>
  <si>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</si>
  <si>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</si>
  <si>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</si>
  <si>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</si>
  <si>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</si>
  <si>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</si>
  <si>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</si>
  <si>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</si>
  <si>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</si>
  <si>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</si>
  <si>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</si>
  <si>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</si>
  <si>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</si>
  <si>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</si>
  <si>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</si>
  <si>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</si>
  <si>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</si>
  <si>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</si>
  <si>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</si>
  <si>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</si>
  <si>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</si>
  <si>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</si>
  <si>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</si>
  <si>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</si>
  <si>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</si>
  <si>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</si>
  <si>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</si>
  <si>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</si>
  <si>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</si>
  <si>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</si>
  <si>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</si>
  <si>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</si>
  <si>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</si>
  <si>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</si>
  <si>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</si>
  <si>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</si>
  <si>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</si>
  <si>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</si>
  <si>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</si>
  <si>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</si>
  <si>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</si>
  <si>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</si>
  <si>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</si>
  <si>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</si>
  <si>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</si>
  <si>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</si>
  <si>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</si>
  <si>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</si>
  <si>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</si>
  <si>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</si>
  <si>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</si>
  <si>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</si>
  <si>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</si>
  <si>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</si>
  <si>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</si>
  <si>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</si>
  <si>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</si>
  <si>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</si>
  <si>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</si>
  <si>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</si>
  <si>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</si>
  <si>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</si>
  <si>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</si>
  <si>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</si>
  <si>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</si>
  <si>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</si>
  <si>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</si>
  <si>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</si>
  <si>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</si>
  <si>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</si>
  <si>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</si>
  <si>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</si>
  <si>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</si>
  <si>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</si>
  <si>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</si>
  <si>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</si>
  <si>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</si>
  <si>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</si>
  <si>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</si>
  <si>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</si>
  <si>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</si>
  <si>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</si>
  <si>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</si>
  <si>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</si>
  <si>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</si>
  <si>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</si>
  <si>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</si>
  <si>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</si>
  <si>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</si>
  <si>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</si>
  <si>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</si>
  <si>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</si>
  <si>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</si>
  <si>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</si>
  <si>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</si>
  <si>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</si>
  <si>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</si>
  <si>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</si>
  <si>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</si>
  <si>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</si>
  <si>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</si>
  <si>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</si>
  <si>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</si>
  <si>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</si>
  <si>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</si>
  <si>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</si>
  <si>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</si>
  <si>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</si>
  <si>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</si>
  <si>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</si>
  <si>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</si>
  <si>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</si>
  <si>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</si>
  <si>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</si>
  <si>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</si>
  <si>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</si>
  <si>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</si>
  <si>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</si>
  <si>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</si>
  <si>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</si>
  <si>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</si>
  <si>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</si>
  <si>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</si>
  <si>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</si>
  <si>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</si>
  <si>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</si>
  <si>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</si>
  <si>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</si>
  <si>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</si>
  <si>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</si>
  <si>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</si>
  <si>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</si>
  <si>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</si>
  <si>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</si>
  <si>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</si>
  <si>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</si>
  <si>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</si>
  <si>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</si>
  <si>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</si>
  <si>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</si>
  <si>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</si>
  <si>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</si>
  <si>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</si>
  <si>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</si>
  <si>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</si>
  <si>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</si>
  <si>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</si>
  <si>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</si>
  <si>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</si>
  <si>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</si>
  <si>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</si>
  <si>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</si>
  <si>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</si>
  <si>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</si>
  <si>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</si>
  <si>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</si>
  <si>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</si>
  <si>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</si>
  <si>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</si>
  <si>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</si>
  <si>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</si>
  <si>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</si>
  <si>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</si>
  <si>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</si>
  <si>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</si>
  <si>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</si>
  <si>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</si>
  <si>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</si>
  <si>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</si>
  <si>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</si>
  <si>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</si>
  <si>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</si>
  <si>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</si>
  <si>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</si>
  <si>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</si>
  <si>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</si>
  <si>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</si>
  <si>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</si>
  <si>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</si>
  <si>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</si>
  <si>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</si>
  <si>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</si>
  <si>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</si>
  <si>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</si>
  <si>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</si>
  <si>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</si>
  <si>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</si>
  <si>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</si>
  <si>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</si>
  <si>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</si>
  <si>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</si>
  <si>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</si>
  <si>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</si>
  <si>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</si>
  <si>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</si>
  <si>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</si>
  <si>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</si>
  <si>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</si>
  <si>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</si>
  <si>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</si>
  <si>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</si>
  <si>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</si>
  <si>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</si>
  <si>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</si>
  <si>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</si>
  <si>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</si>
  <si>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</si>
  <si>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</si>
  <si>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</si>
  <si>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</si>
  <si>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</si>
  <si>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</si>
  <si>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</si>
  <si>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</si>
  <si>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</si>
  <si>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</si>
  <si>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</si>
  <si>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</si>
  <si>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S.n.</t>
  </si>
  <si>
    <t>Average of Rating</t>
  </si>
  <si>
    <t>Number of items</t>
  </si>
  <si>
    <t>Total Sales</t>
  </si>
  <si>
    <t>Avg Sales</t>
  </si>
  <si>
    <t>No. of Items</t>
  </si>
  <si>
    <t>Avg of Rating</t>
  </si>
  <si>
    <t>KPI's Requirements</t>
  </si>
  <si>
    <t>Row Labels</t>
  </si>
  <si>
    <t>Total Sales by Fat content</t>
  </si>
  <si>
    <t>Total Sales by Items Type</t>
  </si>
  <si>
    <t>Column Labels</t>
  </si>
  <si>
    <t>Total Sales by Outlet Establishment</t>
  </si>
  <si>
    <t>Fat content by Order order for total sales</t>
  </si>
  <si>
    <t>Sales by Outlet Size</t>
  </si>
  <si>
    <t xml:space="preserve">Outlet Location </t>
  </si>
  <si>
    <t>Sales by Outlet Location</t>
  </si>
  <si>
    <t>Average of Sales</t>
  </si>
  <si>
    <t>Count of Sales</t>
  </si>
  <si>
    <t>All Matrices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</si>
</sst>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quot;$&quot;0.0,&quot;K&quot;"/>
    <numFmt numFmtId="168"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b/>
      <sz val="14"/>
      <color theme="1"/>
      <name val="Calibri"/>
      <family val="2"/>
      <scheme val="minor"/>
    </font>
    <font>
      <b/>
      <sz val="14"/>
      <color rgb="FF262626"/>
      <name val="Calibri"/>
      <family val="2"/>
      <scheme val="minor"/>
    </font>
    <font>
      <b/>
      <sz val="12"/>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0" fontId="0" fillId="0" borderId="10" xfId="0" applyBorder="1"/>
    <xf numFmtId="0" fontId="0" fillId="0" borderId="11" xfId="0" applyBorder="1"/>
    <xf numFmtId="165" fontId="0" fillId="0" borderId="13" xfId="0" applyNumberFormat="1" applyBorder="1"/>
    <xf numFmtId="164" fontId="0" fillId="0" borderId="13" xfId="0" applyNumberForma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6" fontId="0" fillId="0" borderId="12" xfId="0" applyNumberFormat="1" applyBorder="1"/>
    <xf numFmtId="166" fontId="0" fillId="0" borderId="0" xfId="0" applyNumberFormat="1"/>
    <xf numFmtId="165" fontId="0" fillId="0" borderId="0" xfId="0" applyNumberFormat="1"/>
    <xf numFmtId="164" fontId="0" fillId="0" borderId="0" xfId="0" applyNumberFormat="1"/>
    <xf numFmtId="0" fontId="0" fillId="0" borderId="21" xfId="0" pivotButton="1" applyBorder="1"/>
    <xf numFmtId="0" fontId="0" fillId="0" borderId="25" xfId="0" pivotButton="1" applyBorder="1"/>
    <xf numFmtId="0" fontId="0" fillId="0" borderId="26" xfId="0" applyBorder="1"/>
    <xf numFmtId="0" fontId="0" fillId="0" borderId="25" xfId="0" applyBorder="1" applyAlignment="1">
      <alignment horizontal="left"/>
    </xf>
    <xf numFmtId="0" fontId="0" fillId="0" borderId="25" xfId="0" applyBorder="1"/>
    <xf numFmtId="0" fontId="0" fillId="0" borderId="27" xfId="0" applyBorder="1"/>
    <xf numFmtId="0" fontId="0" fillId="0" borderId="28" xfId="0" applyBorder="1"/>
    <xf numFmtId="0" fontId="0" fillId="0" borderId="29" xfId="0" applyBorder="1"/>
    <xf numFmtId="0" fontId="0" fillId="0" borderId="22" xfId="0" pivotButton="1" applyBorder="1"/>
    <xf numFmtId="0" fontId="0" fillId="0" borderId="24" xfId="0" applyBorder="1"/>
    <xf numFmtId="0" fontId="0" fillId="0" borderId="27" xfId="0" applyBorder="1" applyAlignment="1">
      <alignment horizontal="left"/>
    </xf>
    <xf numFmtId="167" fontId="0" fillId="0" borderId="29" xfId="0" applyNumberFormat="1" applyBorder="1"/>
    <xf numFmtId="167" fontId="0" fillId="0" borderId="22" xfId="0" applyNumberFormat="1" applyBorder="1"/>
    <xf numFmtId="167" fontId="0" fillId="0" borderId="24" xfId="0" applyNumberFormat="1" applyBorder="1"/>
    <xf numFmtId="167" fontId="0" fillId="0" borderId="27" xfId="0" applyNumberFormat="1" applyBorder="1"/>
    <xf numFmtId="0" fontId="0" fillId="0" borderId="30" xfId="0" applyBorder="1"/>
    <xf numFmtId="0" fontId="0" fillId="0" borderId="31" xfId="0" applyBorder="1"/>
    <xf numFmtId="0" fontId="0" fillId="0" borderId="21" xfId="0" applyBorder="1"/>
    <xf numFmtId="167" fontId="0" fillId="0" borderId="32" xfId="0" applyNumberFormat="1" applyBorder="1"/>
    <xf numFmtId="167" fontId="0" fillId="0" borderId="33" xfId="0" applyNumberFormat="1" applyBorder="1"/>
    <xf numFmtId="167" fontId="0" fillId="0" borderId="34" xfId="0" applyNumberFormat="1" applyBorder="1"/>
    <xf numFmtId="0" fontId="0" fillId="0" borderId="32" xfId="0" applyBorder="1" applyAlignment="1">
      <alignment horizontal="left"/>
    </xf>
    <xf numFmtId="0" fontId="0" fillId="0" borderId="34" xfId="0" applyBorder="1" applyAlignment="1">
      <alignment horizontal="left"/>
    </xf>
    <xf numFmtId="0" fontId="0" fillId="33" borderId="35" xfId="0" applyFill="1" applyBorder="1"/>
    <xf numFmtId="0" fontId="0" fillId="33" borderId="31" xfId="0" applyFill="1" applyBorder="1"/>
    <xf numFmtId="0" fontId="0" fillId="0" borderId="33" xfId="0" applyBorder="1" applyAlignment="1">
      <alignment horizontal="left"/>
    </xf>
    <xf numFmtId="167" fontId="0" fillId="0" borderId="26" xfId="0" applyNumberFormat="1" applyBorder="1"/>
    <xf numFmtId="167" fontId="0" fillId="0" borderId="25" xfId="0" applyNumberFormat="1" applyBorder="1"/>
    <xf numFmtId="0" fontId="0" fillId="0" borderId="22" xfId="0" applyBorder="1"/>
    <xf numFmtId="0" fontId="0" fillId="0" borderId="23" xfId="0" applyBorder="1"/>
    <xf numFmtId="0" fontId="20" fillId="0" borderId="0" xfId="0" applyFont="1"/>
    <xf numFmtId="0" fontId="18" fillId="33" borderId="22" xfId="0" applyFont="1" applyFill="1" applyBorder="1"/>
    <xf numFmtId="0" fontId="0" fillId="33" borderId="23" xfId="0" applyFill="1" applyBorder="1"/>
    <xf numFmtId="167" fontId="0" fillId="0" borderId="0" xfId="0" applyNumberFormat="1"/>
    <xf numFmtId="168" fontId="0" fillId="0" borderId="32" xfId="0" applyNumberFormat="1" applyBorder="1"/>
    <xf numFmtId="168" fontId="0" fillId="0" borderId="33" xfId="0" applyNumberFormat="1" applyBorder="1"/>
    <xf numFmtId="168" fontId="0" fillId="0" borderId="34" xfId="0" applyNumberFormat="1" applyBorder="1"/>
    <xf numFmtId="1" fontId="0" fillId="0" borderId="32" xfId="0" applyNumberFormat="1" applyBorder="1"/>
    <xf numFmtId="1" fontId="0" fillId="0" borderId="33" xfId="0" applyNumberFormat="1" applyBorder="1"/>
    <xf numFmtId="1" fontId="0" fillId="0" borderId="34" xfId="0" applyNumberFormat="1" applyBorder="1"/>
    <xf numFmtId="0" fontId="21" fillId="33" borderId="22" xfId="0" applyFont="1" applyFill="1" applyBorder="1" applyAlignment="1">
      <alignment horizontal="center"/>
    </xf>
    <xf numFmtId="0" fontId="21" fillId="33" borderId="23" xfId="0" applyFont="1" applyFill="1" applyBorder="1" applyAlignment="1">
      <alignment horizontal="center"/>
    </xf>
    <xf numFmtId="0" fontId="18" fillId="33" borderId="22" xfId="0" applyFont="1" applyFill="1" applyBorder="1" applyAlignment="1">
      <alignment horizontal="center"/>
    </xf>
    <xf numFmtId="0" fontId="0" fillId="33" borderId="23" xfId="0" applyFill="1" applyBorder="1" applyAlignment="1">
      <alignment horizontal="center"/>
    </xf>
    <xf numFmtId="0" fontId="18" fillId="33" borderId="18" xfId="0" applyFont="1" applyFill="1" applyBorder="1" applyAlignment="1">
      <alignment horizontal="center"/>
    </xf>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3" xfId="0" applyFont="1" applyFill="1" applyBorder="1" applyAlignment="1">
      <alignment horizontal="center"/>
    </xf>
    <xf numFmtId="0" fontId="18" fillId="33" borderId="24" xfId="0" applyFont="1" applyFill="1" applyBorder="1" applyAlignment="1">
      <alignment horizontal="center"/>
    </xf>
    <xf numFmtId="0" fontId="19" fillId="33" borderId="22" xfId="0" applyFont="1" applyFill="1" applyBorder="1" applyAlignment="1">
      <alignment horizontal="center"/>
    </xf>
    <xf numFmtId="0" fontId="18" fillId="33" borderId="30" xfId="0" applyFont="1" applyFill="1" applyBorder="1" applyAlignment="1">
      <alignment horizontal="center"/>
    </xf>
    <xf numFmtId="0" fontId="18" fillId="33" borderId="35" xfId="0" applyFont="1" applyFill="1" applyBorder="1" applyAlignment="1">
      <alignment horizontal="center"/>
    </xf>
    <xf numFmtId="0" fontId="0" fillId="33" borderId="24"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9"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quot;$&quot;0.0,&quot;K&quot;"/>
    </dxf>
    <dxf>
      <numFmt numFmtId="169" formatCode="&quot;$&quot;0.0&quot;K&quot;"/>
    </dxf>
    <dxf>
      <border>
        <top style="medium">
          <color indexed="64"/>
        </top>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591F555-9C88-4F82-8053-4AEA66FED076}">
      <tableStyleElement type="wholeTable" dxfId="135"/>
      <tableStyleElement type="headerRow" dxfId="134"/>
    </tableStyle>
  </tableStyles>
  <colors>
    <mruColors>
      <color rgb="FFFFD200"/>
      <color rgb="FFD09E00"/>
      <color rgb="FFFF0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D2-45C9-B648-5851E619DE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D2-45C9-B648-5851E619DE9A}"/>
              </c:ext>
            </c:extLst>
          </c:dPt>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0-C5FB-41D8-9705-4FB1EFD8B3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Low Fat</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AA5-4C64-B6A0-1294DB1F3D43}"/>
            </c:ext>
          </c:extLst>
        </c:ser>
        <c:ser>
          <c:idx val="1"/>
          <c:order val="1"/>
          <c:tx>
            <c:strRef>
              <c:f>'Sheets Design'!$C$24:$C$25</c:f>
              <c:strCache>
                <c:ptCount val="1"/>
                <c:pt idx="0">
                  <c:v>Regular</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EAA5-4C64-B6A0-1294DB1F3D43}"/>
            </c:ext>
          </c:extLst>
        </c:ser>
        <c:dLbls>
          <c:showLegendKey val="0"/>
          <c:showVal val="0"/>
          <c:showCatName val="0"/>
          <c:showSerName val="0"/>
          <c:showPercent val="0"/>
          <c:showBubbleSize val="0"/>
        </c:dLbls>
        <c:gapWidth val="182"/>
        <c:axId val="989867728"/>
        <c:axId val="989865808"/>
      </c:barChart>
      <c:catAx>
        <c:axId val="9898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65808"/>
        <c:crosses val="autoZero"/>
        <c:auto val="1"/>
        <c:lblAlgn val="ctr"/>
        <c:lblOffset val="100"/>
        <c:noMultiLvlLbl val="0"/>
      </c:catAx>
      <c:valAx>
        <c:axId val="989865808"/>
        <c:scaling>
          <c:orientation val="minMax"/>
        </c:scaling>
        <c:delete val="1"/>
        <c:axPos val="b"/>
        <c:numFmt formatCode="&quot;$&quot;0.0,&quot;K&quot;" sourceLinked="1"/>
        <c:majorTickMark val="none"/>
        <c:minorTickMark val="none"/>
        <c:tickLblPos val="nextTo"/>
        <c:crossAx val="98986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3.8182512409316534E-2"/>
          <c:w val="0.70912642169728779"/>
          <c:h val="0.91599847269950363"/>
        </c:manualLayout>
      </c:layout>
      <c:barChart>
        <c:barDir val="bar"/>
        <c:grouping val="clustered"/>
        <c:varyColors val="0"/>
        <c:ser>
          <c:idx val="0"/>
          <c:order val="0"/>
          <c:tx>
            <c:strRef>
              <c:f>'Sheets Design'!$B$32</c:f>
              <c:strCache>
                <c:ptCount val="1"/>
                <c:pt idx="0">
                  <c:v>Total</c:v>
                </c:pt>
              </c:strCache>
            </c:strRef>
          </c:tx>
          <c:spPr>
            <a:solidFill>
              <a:schemeClr val="accent1"/>
            </a:solidFill>
            <a:ln>
              <a:noFill/>
            </a:ln>
            <a:effectLst/>
          </c:spPr>
          <c:invertIfNegative val="0"/>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A81-49FB-97A4-F2CC15EF58F3}"/>
            </c:ext>
          </c:extLst>
        </c:ser>
        <c:dLbls>
          <c:showLegendKey val="0"/>
          <c:showVal val="0"/>
          <c:showCatName val="0"/>
          <c:showSerName val="0"/>
          <c:showPercent val="0"/>
          <c:showBubbleSize val="0"/>
        </c:dLbls>
        <c:gapWidth val="182"/>
        <c:axId val="1287751215"/>
        <c:axId val="1287753135"/>
      </c:barChart>
      <c:catAx>
        <c:axId val="128775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53135"/>
        <c:crosses val="autoZero"/>
        <c:auto val="1"/>
        <c:lblAlgn val="ctr"/>
        <c:lblOffset val="100"/>
        <c:noMultiLvlLbl val="0"/>
      </c:catAx>
      <c:valAx>
        <c:axId val="1287753135"/>
        <c:scaling>
          <c:orientation val="minMax"/>
        </c:scaling>
        <c:delete val="1"/>
        <c:axPos val="b"/>
        <c:numFmt formatCode="&quot;$&quot;0.0,&quot;K&quot;" sourceLinked="1"/>
        <c:majorTickMark val="none"/>
        <c:minorTickMark val="none"/>
        <c:tickLblPos val="nextTo"/>
        <c:crossAx val="128775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Design'!$B$53</c:f>
              <c:strCache>
                <c:ptCount val="1"/>
                <c:pt idx="0">
                  <c:v>Total</c:v>
                </c:pt>
              </c:strCache>
            </c:strRef>
          </c:tx>
          <c:spPr>
            <a:solidFill>
              <a:schemeClr val="accent1"/>
            </a:solidFill>
            <a:ln>
              <a:noFill/>
            </a:ln>
            <a:effectLst/>
          </c:spPr>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889-41B3-B844-AF99B6373E5B}"/>
            </c:ext>
          </c:extLst>
        </c:ser>
        <c:dLbls>
          <c:showLegendKey val="0"/>
          <c:showVal val="0"/>
          <c:showCatName val="0"/>
          <c:showSerName val="0"/>
          <c:showPercent val="0"/>
          <c:showBubbleSize val="0"/>
        </c:dLbls>
        <c:axId val="908706975"/>
        <c:axId val="710515695"/>
      </c:areaChart>
      <c:catAx>
        <c:axId val="908706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515695"/>
        <c:crosses val="autoZero"/>
        <c:auto val="1"/>
        <c:lblAlgn val="ctr"/>
        <c:lblOffset val="100"/>
        <c:noMultiLvlLbl val="0"/>
      </c:catAx>
      <c:valAx>
        <c:axId val="710515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706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Design!PivotTable6</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'Sheets Design'!$B$68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5C-4435-9E63-4634B344C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5C-4435-9E63-4634B344C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5C-4435-9E63-4634B344CC4B}"/>
              </c:ext>
            </c:extLst>
          </c:dPt>
          <c:cat>
            <c:strRef>
              <c:f>'Sheets Design'!$A$69:$A$71</c:f>
              <c:strCache>
                <c:ptCount val="3"/>
                <c:pt idx="0">
                  <c:v>High</c:v>
                </c:pt>
                <c:pt idx="1">
                  <c:v>Medium</c:v>
                </c:pt>
                <c:pt idx="2">
                  <c:v>Small</c:v>
                </c:pt>
              </c:strCache>
            </c:strRef>
          </c:cat>
          <c:val>
            <c:numRef>
              <c:f>'Sheets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9A3-489F-852B-EEBFEEDE64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Design'!$B$86</c:f>
              <c:strCache>
                <c:ptCount val="1"/>
                <c:pt idx="0">
                  <c:v>Total</c:v>
                </c:pt>
              </c:strCache>
            </c:strRef>
          </c:tx>
          <c:spPr>
            <a:solidFill>
              <a:schemeClr val="accent1"/>
            </a:solidFill>
            <a:ln>
              <a:noFill/>
            </a:ln>
            <a:effectLst/>
          </c:spPr>
          <c:invertIfNegative val="1"/>
          <c:cat>
            <c:strRef>
              <c:f>'Sheets Design'!$A$87:$A$90</c:f>
              <c:strCache>
                <c:ptCount val="4"/>
                <c:pt idx="0">
                  <c:v>Grocery Store</c:v>
                </c:pt>
                <c:pt idx="1">
                  <c:v>Supermarket Type3</c:v>
                </c:pt>
                <c:pt idx="2">
                  <c:v>Supermarket Type2</c:v>
                </c:pt>
                <c:pt idx="3">
                  <c:v>Supermarket Type1</c:v>
                </c:pt>
              </c:strCache>
            </c:strRef>
          </c:cat>
          <c:val>
            <c:numRef>
              <c:f>'Sheets Design'!$B$87:$B$90</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822B-4B5D-846C-3FC0CD82A1C0}"/>
            </c:ext>
          </c:extLst>
        </c:ser>
        <c:dLbls>
          <c:showLegendKey val="0"/>
          <c:showVal val="0"/>
          <c:showCatName val="0"/>
          <c:showSerName val="0"/>
          <c:showPercent val="0"/>
          <c:showBubbleSize val="0"/>
        </c:dLbls>
        <c:gapWidth val="182"/>
        <c:axId val="645748288"/>
        <c:axId val="647063280"/>
      </c:barChart>
      <c:catAx>
        <c:axId val="64574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63280"/>
        <c:crosses val="autoZero"/>
        <c:auto val="1"/>
        <c:lblAlgn val="ctr"/>
        <c:lblOffset val="100"/>
        <c:noMultiLvlLbl val="0"/>
      </c:catAx>
      <c:valAx>
        <c:axId val="647063280"/>
        <c:scaling>
          <c:orientation val="minMax"/>
        </c:scaling>
        <c:delete val="1"/>
        <c:axPos val="b"/>
        <c:numFmt formatCode="&quot;$&quot;0.0,&quot;K&quot;" sourceLinked="1"/>
        <c:majorTickMark val="none"/>
        <c:minorTickMark val="none"/>
        <c:tickLblPos val="nextTo"/>
        <c:crossAx val="64574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Design!PivotTable9</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Design'!$B$93</c:f>
              <c:strCache>
                <c:ptCount val="1"/>
                <c:pt idx="0">
                  <c:v>Total</c:v>
                </c:pt>
              </c:strCache>
            </c:strRef>
          </c:tx>
          <c:spPr>
            <a:solidFill>
              <a:schemeClr val="accent1"/>
            </a:solidFill>
            <a:ln>
              <a:noFill/>
            </a:ln>
            <a:effectLst/>
          </c:spPr>
          <c:invertIfNegative val="0"/>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5DF-4828-889F-4988A41A5692}"/>
            </c:ext>
          </c:extLst>
        </c:ser>
        <c:dLbls>
          <c:showLegendKey val="0"/>
          <c:showVal val="0"/>
          <c:showCatName val="0"/>
          <c:showSerName val="0"/>
          <c:showPercent val="0"/>
          <c:showBubbleSize val="0"/>
        </c:dLbls>
        <c:gapWidth val="182"/>
        <c:axId val="794530688"/>
        <c:axId val="847124848"/>
      </c:barChart>
      <c:catAx>
        <c:axId val="79453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124848"/>
        <c:crosses val="autoZero"/>
        <c:auto val="1"/>
        <c:lblAlgn val="ctr"/>
        <c:lblOffset val="100"/>
        <c:noMultiLvlLbl val="0"/>
      </c:catAx>
      <c:valAx>
        <c:axId val="847124848"/>
        <c:scaling>
          <c:orientation val="minMax"/>
        </c:scaling>
        <c:delete val="1"/>
        <c:axPos val="b"/>
        <c:numFmt formatCode="\$0" sourceLinked="1"/>
        <c:majorTickMark val="none"/>
        <c:minorTickMark val="none"/>
        <c:tickLblPos val="nextTo"/>
        <c:crossAx val="79453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Design!PivotTable10</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Design'!$B$100</c:f>
              <c:strCache>
                <c:ptCount val="1"/>
                <c:pt idx="0">
                  <c:v>Total</c:v>
                </c:pt>
              </c:strCache>
            </c:strRef>
          </c:tx>
          <c:spPr>
            <a:solidFill>
              <a:schemeClr val="accent1"/>
            </a:solidFill>
            <a:ln>
              <a:noFill/>
            </a:ln>
            <a:effectLst/>
          </c:spPr>
          <c:invertIfNegative val="0"/>
          <c:cat>
            <c:strRef>
              <c:f>'Sheets Design'!$A$101:$A$104</c:f>
              <c:strCache>
                <c:ptCount val="4"/>
                <c:pt idx="0">
                  <c:v>Grocery Store</c:v>
                </c:pt>
                <c:pt idx="1">
                  <c:v>Supermarket Type3</c:v>
                </c:pt>
                <c:pt idx="2">
                  <c:v>Supermarket Type2</c:v>
                </c:pt>
                <c:pt idx="3">
                  <c:v>Supermarket Type1</c:v>
                </c:pt>
              </c:strCache>
            </c:strRef>
          </c:cat>
          <c:val>
            <c:numRef>
              <c:f>'Sheets Design'!$B$101:$B$104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F484-4465-BAEA-36E001616707}"/>
            </c:ext>
          </c:extLst>
        </c:ser>
        <c:dLbls>
          <c:showLegendKey val="0"/>
          <c:showVal val="0"/>
          <c:showCatName val="0"/>
          <c:showSerName val="0"/>
          <c:showPercent val="0"/>
          <c:showBubbleSize val="0"/>
        </c:dLbls>
        <c:gapWidth val="182"/>
        <c:axId val="627038736"/>
        <c:axId val="847126288"/>
      </c:barChart>
      <c:catAx>
        <c:axId val="627038736"/>
        <c:scaling>
          <c:orientation val="minMax"/>
        </c:scaling>
        <c:delete val="1"/>
        <c:axPos val="l"/>
        <c:numFmt formatCode="General" sourceLinked="1"/>
        <c:majorTickMark val="none"/>
        <c:minorTickMark val="none"/>
        <c:tickLblPos val="nextTo"/>
        <c:crossAx val="847126288"/>
        <c:crosses val="autoZero"/>
        <c:auto val="1"/>
        <c:lblAlgn val="ctr"/>
        <c:lblOffset val="100"/>
        <c:noMultiLvlLbl val="0"/>
      </c:catAx>
      <c:valAx>
        <c:axId val="847126288"/>
        <c:scaling>
          <c:orientation val="minMax"/>
        </c:scaling>
        <c:delete val="1"/>
        <c:axPos val="b"/>
        <c:numFmt formatCode="0" sourceLinked="1"/>
        <c:majorTickMark val="none"/>
        <c:minorTickMark val="none"/>
        <c:tickLblPos val="nextTo"/>
        <c:crossAx val="6270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Display Semib"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677951388888878"/>
              <c:y val="0.1160877513711151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Display Semib"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575520833333333"/>
              <c:y val="-0.1354357099329676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Display Semib"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525390625000001"/>
          <c:y val="0.25797278082470038"/>
          <c:w val="0.59561631944444449"/>
          <c:h val="0.696881982530977"/>
        </c:manualLayout>
      </c:layout>
      <c:doughnutChart>
        <c:varyColors val="1"/>
        <c:ser>
          <c:idx val="0"/>
          <c:order val="0"/>
          <c:tx>
            <c:strRef>
              <c:f>'Sheets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D577-4D42-A83B-E66C65FEA5D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577-4D42-A83B-E66C65FEA5D1}"/>
              </c:ext>
            </c:extLst>
          </c:dPt>
          <c:dLbls>
            <c:dLbl>
              <c:idx val="0"/>
              <c:layout>
                <c:manualLayout>
                  <c:x val="0.12677951388888878"/>
                  <c:y val="0.1160877513711151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77-4D42-A83B-E66C65FEA5D1}"/>
                </c:ext>
              </c:extLst>
            </c:dLbl>
            <c:dLbl>
              <c:idx val="1"/>
              <c:layout>
                <c:manualLayout>
                  <c:x val="-0.11575520833333333"/>
                  <c:y val="-0.135435709932967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77-4D42-A83B-E66C65FEA5D1}"/>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Variable Display Semib" pitchFamily="2"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Design'!$A$14:$A$15</c:f>
              <c:strCache>
                <c:ptCount val="2"/>
                <c:pt idx="0">
                  <c:v>Low Fat</c:v>
                </c:pt>
                <c:pt idx="1">
                  <c:v>Regular</c:v>
                </c:pt>
              </c:strCache>
            </c:strRef>
          </c:cat>
          <c:val>
            <c:numRef>
              <c:f>'Sheets Design'!$B$14:$B$15</c:f>
              <c:numCache>
                <c:formatCode>"$"0.0,"K"</c:formatCode>
                <c:ptCount val="2"/>
                <c:pt idx="0">
                  <c:v>776319.68840000057</c:v>
                </c:pt>
                <c:pt idx="1">
                  <c:v>425361.8043999995</c:v>
                </c:pt>
              </c:numCache>
            </c:numRef>
          </c:val>
          <c:extLst>
            <c:ext xmlns:c16="http://schemas.microsoft.com/office/drawing/2014/chart" uri="{C3380CC4-5D6E-409C-BE32-E72D297353CC}">
              <c16:uniqueId val="{00000004-D577-4D42-A83B-E66C65FEA5D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6901658195734"/>
          <c:y val="0.22271609539931769"/>
          <c:w val="0.79257858653955882"/>
          <c:h val="0.70496306304907153"/>
        </c:manualLayout>
      </c:layout>
      <c:barChart>
        <c:barDir val="bar"/>
        <c:grouping val="clustered"/>
        <c:varyColors val="0"/>
        <c:ser>
          <c:idx val="0"/>
          <c:order val="0"/>
          <c:tx>
            <c:strRef>
              <c:f>'Sheets Design'!$B$24:$B$25</c:f>
              <c:strCache>
                <c:ptCount val="1"/>
                <c:pt idx="0">
                  <c:v>Low Fat</c:v>
                </c:pt>
              </c:strCache>
            </c:strRef>
          </c:tx>
          <c:spPr>
            <a:solidFill>
              <a:schemeClr val="accent6">
                <a:lumMod val="75000"/>
              </a:schemeClr>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D61F-4259-B09F-A5A541D9BED9}"/>
            </c:ext>
          </c:extLst>
        </c:ser>
        <c:ser>
          <c:idx val="1"/>
          <c:order val="1"/>
          <c:tx>
            <c:strRef>
              <c:f>'Sheets Design'!$C$24:$C$25</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D61F-4259-B09F-A5A541D9BED9}"/>
            </c:ext>
          </c:extLst>
        </c:ser>
        <c:dLbls>
          <c:showLegendKey val="0"/>
          <c:showVal val="0"/>
          <c:showCatName val="0"/>
          <c:showSerName val="0"/>
          <c:showPercent val="0"/>
          <c:showBubbleSize val="0"/>
        </c:dLbls>
        <c:gapWidth val="60"/>
        <c:axId val="989867728"/>
        <c:axId val="989865808"/>
      </c:barChart>
      <c:catAx>
        <c:axId val="9898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865808"/>
        <c:crosses val="autoZero"/>
        <c:auto val="1"/>
        <c:lblAlgn val="ctr"/>
        <c:lblOffset val="100"/>
        <c:noMultiLvlLbl val="0"/>
      </c:catAx>
      <c:valAx>
        <c:axId val="989865808"/>
        <c:scaling>
          <c:orientation val="minMax"/>
        </c:scaling>
        <c:delete val="1"/>
        <c:axPos val="b"/>
        <c:numFmt formatCode="&quot;$&quot;0.0,&quot;K&quot;" sourceLinked="1"/>
        <c:majorTickMark val="none"/>
        <c:minorTickMark val="none"/>
        <c:tickLblPos val="nextTo"/>
        <c:crossAx val="98986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57791814484733"/>
          <c:y val="3.8182512409316534E-2"/>
          <c:w val="0.63586628594502614"/>
          <c:h val="0.91599847269950363"/>
        </c:manualLayout>
      </c:layout>
      <c:barChart>
        <c:barDir val="bar"/>
        <c:grouping val="clustered"/>
        <c:varyColors val="0"/>
        <c:ser>
          <c:idx val="0"/>
          <c:order val="0"/>
          <c:tx>
            <c:strRef>
              <c:f>'Sheets Design'!$B$32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Variable Small Semibol"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3F3-4055-9D2C-6E72394A8609}"/>
            </c:ext>
          </c:extLst>
        </c:ser>
        <c:dLbls>
          <c:showLegendKey val="0"/>
          <c:showVal val="0"/>
          <c:showCatName val="0"/>
          <c:showSerName val="0"/>
          <c:showPercent val="0"/>
          <c:showBubbleSize val="0"/>
        </c:dLbls>
        <c:gapWidth val="51"/>
        <c:axId val="1287751215"/>
        <c:axId val="1287753135"/>
      </c:barChart>
      <c:catAx>
        <c:axId val="128775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Variable Small Semibol" pitchFamily="2" charset="0"/>
                <a:ea typeface="+mn-ea"/>
                <a:cs typeface="+mn-cs"/>
              </a:defRPr>
            </a:pPr>
            <a:endParaRPr lang="en-US"/>
          </a:p>
        </c:txPr>
        <c:crossAx val="1287753135"/>
        <c:crosses val="autoZero"/>
        <c:auto val="1"/>
        <c:lblAlgn val="ctr"/>
        <c:lblOffset val="100"/>
        <c:noMultiLvlLbl val="0"/>
      </c:catAx>
      <c:valAx>
        <c:axId val="1287753135"/>
        <c:scaling>
          <c:orientation val="minMax"/>
        </c:scaling>
        <c:delete val="1"/>
        <c:axPos val="b"/>
        <c:numFmt formatCode="&quot;$&quot;0.0,&quot;K&quot;" sourceLinked="1"/>
        <c:majorTickMark val="none"/>
        <c:minorTickMark val="none"/>
        <c:tickLblPos val="nextTo"/>
        <c:crossAx val="128775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4000"/>
            </a:srgbClr>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4.2803631096062804E-3"/>
              <c:y val="-0.26741293532338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8.5607262192125607E-3"/>
              <c:y val="-0.23631840796019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27985074626865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3.9236208578027924E-17"/>
              <c:y val="-0.286069651741293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6.420544664409421E-3"/>
              <c:y val="-0.27985074626865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1.2841089328818764E-2"/>
              <c:y val="-0.279850746268656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335820895522388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4.2803631096062804E-3"/>
              <c:y val="-0.35447761194029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4000"/>
            </a:srgbClr>
          </a:solidFill>
          <a:ln w="25400">
            <a:solidFill>
              <a:schemeClr val="accent1"/>
            </a:solidFill>
          </a:ln>
          <a:effectLst>
            <a:innerShdw dist="12700" dir="16200000">
              <a:schemeClr val="lt1">
                <a:alpha val="75000"/>
              </a:schemeClr>
            </a:innerShdw>
          </a:effectLst>
        </c:spPr>
        <c:dLbl>
          <c:idx val="0"/>
          <c:layout>
            <c:manualLayout>
              <c:x val="0"/>
              <c:y val="-0.26119402985074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59545108623482E-2"/>
          <c:y val="6.8407960199004969E-2"/>
          <c:w val="0.93528090978275302"/>
          <c:h val="0.67053609903239708"/>
        </c:manualLayout>
      </c:layout>
      <c:areaChart>
        <c:grouping val="standard"/>
        <c:varyColors val="0"/>
        <c:ser>
          <c:idx val="0"/>
          <c:order val="0"/>
          <c:tx>
            <c:strRef>
              <c:f>'Sheets Design'!$B$53</c:f>
              <c:strCache>
                <c:ptCount val="1"/>
                <c:pt idx="0">
                  <c:v>Total</c:v>
                </c:pt>
              </c:strCache>
            </c:strRef>
          </c:tx>
          <c:spPr>
            <a:solidFill>
              <a:srgbClr val="FFD200">
                <a:alpha val="84000"/>
              </a:srgbClr>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9D6C-4242-8D62-9AF6084213AA}"/>
              </c:ext>
            </c:extLst>
          </c:dPt>
          <c:dPt>
            <c:idx val="1"/>
            <c:bubble3D val="0"/>
            <c:extLst>
              <c:ext xmlns:c16="http://schemas.microsoft.com/office/drawing/2014/chart" uri="{C3380CC4-5D6E-409C-BE32-E72D297353CC}">
                <c16:uniqueId val="{00000001-9D6C-4242-8D62-9AF6084213AA}"/>
              </c:ext>
            </c:extLst>
          </c:dPt>
          <c:dPt>
            <c:idx val="2"/>
            <c:bubble3D val="0"/>
            <c:extLst>
              <c:ext xmlns:c16="http://schemas.microsoft.com/office/drawing/2014/chart" uri="{C3380CC4-5D6E-409C-BE32-E72D297353CC}">
                <c16:uniqueId val="{00000003-9D6C-4242-8D62-9AF6084213AA}"/>
              </c:ext>
            </c:extLst>
          </c:dPt>
          <c:dPt>
            <c:idx val="3"/>
            <c:bubble3D val="0"/>
            <c:extLst>
              <c:ext xmlns:c16="http://schemas.microsoft.com/office/drawing/2014/chart" uri="{C3380CC4-5D6E-409C-BE32-E72D297353CC}">
                <c16:uniqueId val="{00000004-9D6C-4242-8D62-9AF6084213AA}"/>
              </c:ext>
            </c:extLst>
          </c:dPt>
          <c:dPt>
            <c:idx val="4"/>
            <c:bubble3D val="0"/>
            <c:extLst>
              <c:ext xmlns:c16="http://schemas.microsoft.com/office/drawing/2014/chart" uri="{C3380CC4-5D6E-409C-BE32-E72D297353CC}">
                <c16:uniqueId val="{00000005-9D6C-4242-8D62-9AF6084213AA}"/>
              </c:ext>
            </c:extLst>
          </c:dPt>
          <c:dPt>
            <c:idx val="5"/>
            <c:bubble3D val="0"/>
            <c:extLst>
              <c:ext xmlns:c16="http://schemas.microsoft.com/office/drawing/2014/chart" uri="{C3380CC4-5D6E-409C-BE32-E72D297353CC}">
                <c16:uniqueId val="{00000006-9D6C-4242-8D62-9AF6084213AA}"/>
              </c:ext>
            </c:extLst>
          </c:dPt>
          <c:dPt>
            <c:idx val="6"/>
            <c:bubble3D val="0"/>
            <c:extLst>
              <c:ext xmlns:c16="http://schemas.microsoft.com/office/drawing/2014/chart" uri="{C3380CC4-5D6E-409C-BE32-E72D297353CC}">
                <c16:uniqueId val="{00000007-9D6C-4242-8D62-9AF6084213AA}"/>
              </c:ext>
            </c:extLst>
          </c:dPt>
          <c:dPt>
            <c:idx val="7"/>
            <c:bubble3D val="0"/>
            <c:extLst>
              <c:ext xmlns:c16="http://schemas.microsoft.com/office/drawing/2014/chart" uri="{C3380CC4-5D6E-409C-BE32-E72D297353CC}">
                <c16:uniqueId val="{00000008-9D6C-4242-8D62-9AF6084213AA}"/>
              </c:ext>
            </c:extLst>
          </c:dPt>
          <c:dPt>
            <c:idx val="8"/>
            <c:bubble3D val="0"/>
            <c:extLst>
              <c:ext xmlns:c16="http://schemas.microsoft.com/office/drawing/2014/chart" uri="{C3380CC4-5D6E-409C-BE32-E72D297353CC}">
                <c16:uniqueId val="{00000009-9D6C-4242-8D62-9AF6084213AA}"/>
              </c:ext>
            </c:extLst>
          </c:dPt>
          <c:dLbls>
            <c:dLbl>
              <c:idx val="0"/>
              <c:layout>
                <c:manualLayout>
                  <c:x val="8.5607262192125607E-3"/>
                  <c:y val="-0.236318407960199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6C-4242-8D62-9AF6084213AA}"/>
                </c:ext>
              </c:extLst>
            </c:dLbl>
            <c:dLbl>
              <c:idx val="1"/>
              <c:layout>
                <c:manualLayout>
                  <c:x val="4.2803631096062804E-3"/>
                  <c:y val="-0.267412935323383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6C-4242-8D62-9AF6084213AA}"/>
                </c:ext>
              </c:extLst>
            </c:dLbl>
            <c:dLbl>
              <c:idx val="2"/>
              <c:layout>
                <c:manualLayout>
                  <c:x val="0"/>
                  <c:y val="-0.27985074626865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6C-4242-8D62-9AF6084213AA}"/>
                </c:ext>
              </c:extLst>
            </c:dLbl>
            <c:dLbl>
              <c:idx val="3"/>
              <c:layout>
                <c:manualLayout>
                  <c:x val="-3.9236208578027924E-17"/>
                  <c:y val="-0.286069651741293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6C-4242-8D62-9AF6084213AA}"/>
                </c:ext>
              </c:extLst>
            </c:dLbl>
            <c:dLbl>
              <c:idx val="4"/>
              <c:layout>
                <c:manualLayout>
                  <c:x val="-6.420544664409421E-3"/>
                  <c:y val="-0.27985074626865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6C-4242-8D62-9AF6084213AA}"/>
                </c:ext>
              </c:extLst>
            </c:dLbl>
            <c:dLbl>
              <c:idx val="5"/>
              <c:layout>
                <c:manualLayout>
                  <c:x val="-1.2841089328818764E-2"/>
                  <c:y val="-0.279850746268656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D6C-4242-8D62-9AF6084213AA}"/>
                </c:ext>
              </c:extLst>
            </c:dLbl>
            <c:dLbl>
              <c:idx val="6"/>
              <c:layout>
                <c:manualLayout>
                  <c:x val="0"/>
                  <c:y val="-0.335820895522388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6C-4242-8D62-9AF6084213AA}"/>
                </c:ext>
              </c:extLst>
            </c:dLbl>
            <c:dLbl>
              <c:idx val="7"/>
              <c:layout>
                <c:manualLayout>
                  <c:x val="-4.2803631096062804E-3"/>
                  <c:y val="-0.35447761194029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D6C-4242-8D62-9AF6084213AA}"/>
                </c:ext>
              </c:extLst>
            </c:dLbl>
            <c:dLbl>
              <c:idx val="8"/>
              <c:layout>
                <c:manualLayout>
                  <c:x val="0"/>
                  <c:y val="-0.26119402985074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6C-4242-8D62-9AF6084213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Design'!$A$54:$A$62</c:f>
              <c:strCache>
                <c:ptCount val="9"/>
                <c:pt idx="0">
                  <c:v>2011</c:v>
                </c:pt>
                <c:pt idx="1">
                  <c:v>2012</c:v>
                </c:pt>
                <c:pt idx="2">
                  <c:v>2014</c:v>
                </c:pt>
                <c:pt idx="3">
                  <c:v>2015</c:v>
                </c:pt>
                <c:pt idx="4">
                  <c:v>2016</c:v>
                </c:pt>
                <c:pt idx="5">
                  <c:v>2017</c:v>
                </c:pt>
                <c:pt idx="6">
                  <c:v>2018</c:v>
                </c:pt>
                <c:pt idx="7">
                  <c:v>2020</c:v>
                </c:pt>
                <c:pt idx="8">
                  <c:v>2022</c:v>
                </c:pt>
              </c:strCache>
            </c:strRef>
          </c:cat>
          <c:val>
            <c:numRef>
              <c:f>'Sheets Design'!$B$54:$B$62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D6C-4242-8D62-9AF6084213AA}"/>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908706975"/>
        <c:axId val="710515695"/>
      </c:areaChart>
      <c:catAx>
        <c:axId val="90870697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75000"/>
                    <a:lumOff val="25000"/>
                  </a:schemeClr>
                </a:solidFill>
                <a:latin typeface="+mn-lt"/>
                <a:ea typeface="+mn-ea"/>
                <a:cs typeface="+mn-cs"/>
              </a:defRPr>
            </a:pPr>
            <a:endParaRPr lang="en-US"/>
          </a:p>
        </c:txPr>
        <c:crossAx val="710515695"/>
        <c:crosses val="autoZero"/>
        <c:auto val="1"/>
        <c:lblAlgn val="ctr"/>
        <c:lblOffset val="100"/>
        <c:noMultiLvlLbl val="0"/>
      </c:catAx>
      <c:valAx>
        <c:axId val="710515695"/>
        <c:scaling>
          <c:orientation val="minMax"/>
        </c:scaling>
        <c:delete val="1"/>
        <c:axPos val="l"/>
        <c:numFmt formatCode="&quot;$&quot;0.0,&quot;K&quot;" sourceLinked="1"/>
        <c:majorTickMark val="out"/>
        <c:minorTickMark val="none"/>
        <c:tickLblPos val="nextTo"/>
        <c:crossAx val="9087069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Design!PivotTable6</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6710526315789473"/>
              <c:y val="-5.64444444444444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3673245614035088"/>
              <c:y val="-5.644444444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819444444444445E-2"/>
              <c:y val="-0.186266666666666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5881725146198827"/>
          <c:y val="0.12710266666666667"/>
          <c:w val="0.67142507309941524"/>
          <c:h val="0.81645288888888889"/>
        </c:manualLayout>
      </c:layout>
      <c:doughnutChart>
        <c:varyColors val="1"/>
        <c:ser>
          <c:idx val="0"/>
          <c:order val="0"/>
          <c:tx>
            <c:strRef>
              <c:f>'Sheets Design'!$B$68</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4AF3-42C4-9CFA-57C65C3AFEB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AF3-42C4-9CFA-57C65C3AFEB9}"/>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4AF3-42C4-9CFA-57C65C3AFEB9}"/>
              </c:ext>
            </c:extLst>
          </c:dPt>
          <c:dLbls>
            <c:dLbl>
              <c:idx val="0"/>
              <c:layout>
                <c:manualLayout>
                  <c:x val="0.16710526315789473"/>
                  <c:y val="-5.644444444444445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AF3-42C4-9CFA-57C65C3AFEB9}"/>
                </c:ext>
              </c:extLst>
            </c:dLbl>
            <c:dLbl>
              <c:idx val="1"/>
              <c:layout>
                <c:manualLayout>
                  <c:x val="0.23673245614035088"/>
                  <c:y val="-5.6444444444444441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F3-42C4-9CFA-57C65C3AFEB9}"/>
                </c:ext>
              </c:extLst>
            </c:dLbl>
            <c:dLbl>
              <c:idx val="2"/>
              <c:layout>
                <c:manualLayout>
                  <c:x val="-8.819444444444445E-2"/>
                  <c:y val="-0.1862666666666666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F3-42C4-9CFA-57C65C3AFE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Design'!$A$69:$A$71</c:f>
              <c:strCache>
                <c:ptCount val="3"/>
                <c:pt idx="0">
                  <c:v>High</c:v>
                </c:pt>
                <c:pt idx="1">
                  <c:v>Medium</c:v>
                </c:pt>
                <c:pt idx="2">
                  <c:v>Small</c:v>
                </c:pt>
              </c:strCache>
            </c:strRef>
          </c:cat>
          <c:val>
            <c:numRef>
              <c:f>'Sheets Design'!$B$69:$B$71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AF3-42C4-9CFA-57C65C3AFEB9}"/>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Design!PivotTable8</c:name>
    <c:fmtId val="2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Design'!$B$86</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Design'!$A$87:$A$90</c:f>
              <c:strCache>
                <c:ptCount val="4"/>
                <c:pt idx="0">
                  <c:v>Grocery Store</c:v>
                </c:pt>
                <c:pt idx="1">
                  <c:v>Supermarket Type3</c:v>
                </c:pt>
                <c:pt idx="2">
                  <c:v>Supermarket Type2</c:v>
                </c:pt>
                <c:pt idx="3">
                  <c:v>Supermarket Type1</c:v>
                </c:pt>
              </c:strCache>
            </c:strRef>
          </c:cat>
          <c:val>
            <c:numRef>
              <c:f>'Sheets Design'!$B$87:$B$90</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F2EC-4B92-933E-06CD6BE84122}"/>
            </c:ext>
          </c:extLst>
        </c:ser>
        <c:dLbls>
          <c:showLegendKey val="0"/>
          <c:showVal val="0"/>
          <c:showCatName val="0"/>
          <c:showSerName val="0"/>
          <c:showPercent val="0"/>
          <c:showBubbleSize val="0"/>
        </c:dLbls>
        <c:gapWidth val="60"/>
        <c:axId val="645748288"/>
        <c:axId val="647063280"/>
      </c:barChart>
      <c:catAx>
        <c:axId val="64574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063280"/>
        <c:crosses val="autoZero"/>
        <c:auto val="1"/>
        <c:lblAlgn val="ctr"/>
        <c:lblOffset val="100"/>
        <c:noMultiLvlLbl val="0"/>
      </c:catAx>
      <c:valAx>
        <c:axId val="647063280"/>
        <c:scaling>
          <c:orientation val="minMax"/>
        </c:scaling>
        <c:delete val="1"/>
        <c:axPos val="b"/>
        <c:numFmt formatCode="&quot;$&quot;0.0,&quot;K&quot;" sourceLinked="1"/>
        <c:majorTickMark val="none"/>
        <c:minorTickMark val="none"/>
        <c:tickLblPos val="nextTo"/>
        <c:crossAx val="64574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Design!PivotTable9</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971080669710803E-2"/>
          <c:y val="9.0670430832434104E-2"/>
          <c:w val="0.86605783866057839"/>
          <c:h val="0.85751789440617499"/>
        </c:manualLayout>
      </c:layout>
      <c:barChart>
        <c:barDir val="bar"/>
        <c:grouping val="clustered"/>
        <c:varyColors val="0"/>
        <c:ser>
          <c:idx val="0"/>
          <c:order val="0"/>
          <c:tx>
            <c:strRef>
              <c:f>'Sheets Design'!$B$93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Design'!$A$94:$A$97</c:f>
              <c:strCache>
                <c:ptCount val="4"/>
                <c:pt idx="0">
                  <c:v>Grocery Store</c:v>
                </c:pt>
                <c:pt idx="1">
                  <c:v>Supermarket Type3</c:v>
                </c:pt>
                <c:pt idx="2">
                  <c:v>Supermarket Type2</c:v>
                </c:pt>
                <c:pt idx="3">
                  <c:v>Supermarket Type1</c:v>
                </c:pt>
              </c:strCache>
            </c:strRef>
          </c:cat>
          <c:val>
            <c:numRef>
              <c:f>'Sheets Design'!$B$94:$B$97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69AA-4584-B669-FAD4D4889F9D}"/>
            </c:ext>
          </c:extLst>
        </c:ser>
        <c:dLbls>
          <c:showLegendKey val="0"/>
          <c:showVal val="0"/>
          <c:showCatName val="0"/>
          <c:showSerName val="0"/>
          <c:showPercent val="0"/>
          <c:showBubbleSize val="0"/>
        </c:dLbls>
        <c:gapWidth val="60"/>
        <c:axId val="794530688"/>
        <c:axId val="847124848"/>
      </c:barChart>
      <c:catAx>
        <c:axId val="794530688"/>
        <c:scaling>
          <c:orientation val="minMax"/>
        </c:scaling>
        <c:delete val="1"/>
        <c:axPos val="l"/>
        <c:numFmt formatCode="General" sourceLinked="1"/>
        <c:majorTickMark val="none"/>
        <c:minorTickMark val="none"/>
        <c:tickLblPos val="nextTo"/>
        <c:crossAx val="847124848"/>
        <c:crosses val="autoZero"/>
        <c:auto val="1"/>
        <c:lblAlgn val="ctr"/>
        <c:lblOffset val="100"/>
        <c:noMultiLvlLbl val="0"/>
      </c:catAx>
      <c:valAx>
        <c:axId val="847124848"/>
        <c:scaling>
          <c:orientation val="minMax"/>
        </c:scaling>
        <c:delete val="1"/>
        <c:axPos val="b"/>
        <c:numFmt formatCode="\$0" sourceLinked="1"/>
        <c:majorTickMark val="none"/>
        <c:minorTickMark val="none"/>
        <c:tickLblPos val="nextTo"/>
        <c:crossAx val="79453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Design'!$A$101:$A$104</c:f>
              <c:strCache>
                <c:ptCount val="4"/>
                <c:pt idx="0">
                  <c:v>Grocery Store</c:v>
                </c:pt>
                <c:pt idx="1">
                  <c:v>Supermarket Type3</c:v>
                </c:pt>
                <c:pt idx="2">
                  <c:v>Supermarket Type2</c:v>
                </c:pt>
                <c:pt idx="3">
                  <c:v>Supermarket Type1</c:v>
                </c:pt>
              </c:strCache>
            </c:strRef>
          </c:cat>
          <c:val>
            <c:numRef>
              <c:f>'Sheets Design'!$B$101:$B$104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DAD0-4246-B7BD-16CD411F4D5E}"/>
            </c:ext>
          </c:extLst>
        </c:ser>
        <c:dLbls>
          <c:showLegendKey val="0"/>
          <c:showVal val="0"/>
          <c:showCatName val="0"/>
          <c:showSerName val="0"/>
          <c:showPercent val="0"/>
          <c:showBubbleSize val="0"/>
        </c:dLbls>
        <c:gapWidth val="60"/>
        <c:axId val="627038736"/>
        <c:axId val="847126288"/>
      </c:barChart>
      <c:catAx>
        <c:axId val="627038736"/>
        <c:scaling>
          <c:orientation val="minMax"/>
        </c:scaling>
        <c:delete val="1"/>
        <c:axPos val="l"/>
        <c:numFmt formatCode="General" sourceLinked="1"/>
        <c:majorTickMark val="none"/>
        <c:minorTickMark val="none"/>
        <c:tickLblPos val="nextTo"/>
        <c:crossAx val="847126288"/>
        <c:crosses val="autoZero"/>
        <c:auto val="1"/>
        <c:lblAlgn val="ctr"/>
        <c:lblOffset val="100"/>
        <c:noMultiLvlLbl val="0"/>
      </c:catAx>
      <c:valAx>
        <c:axId val="847126288"/>
        <c:scaling>
          <c:orientation val="minMax"/>
        </c:scaling>
        <c:delete val="1"/>
        <c:axPos val="b"/>
        <c:numFmt formatCode="0" sourceLinked="1"/>
        <c:majorTickMark val="none"/>
        <c:minorTickMark val="none"/>
        <c:tickLblPos val="nextTo"/>
        <c:crossAx val="62703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000000-2B31-4898-869E-FC640029744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2B31-4898-869E-FC6400297446}">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5</xdr:col>
      <xdr:colOff>297180</xdr:colOff>
      <xdr:row>1</xdr:row>
      <xdr:rowOff>22860</xdr:rowOff>
    </xdr:from>
    <xdr:to>
      <xdr:col>8</xdr:col>
      <xdr:colOff>114300</xdr:colOff>
      <xdr:row>7</xdr:row>
      <xdr:rowOff>167639</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06A6DCCE-A18E-52F1-90E8-3D995D2A91C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196840" y="228600"/>
              <a:ext cx="182880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346710</xdr:colOff>
      <xdr:row>12</xdr:row>
      <xdr:rowOff>49530</xdr:rowOff>
    </xdr:from>
    <xdr:to>
      <xdr:col>3</xdr:col>
      <xdr:colOff>883920</xdr:colOff>
      <xdr:row>18</xdr:row>
      <xdr:rowOff>175260</xdr:rowOff>
    </xdr:to>
    <xdr:graphicFrame macro="">
      <xdr:nvGraphicFramePr>
        <xdr:cNvPr id="3" name="Chart 2">
          <a:extLst>
            <a:ext uri="{FF2B5EF4-FFF2-40B4-BE49-F238E27FC236}">
              <a16:creationId xmlns:a16="http://schemas.microsoft.com/office/drawing/2014/main" id="{54046E69-9FAF-B27B-F875-718D0ADC5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22</xdr:row>
      <xdr:rowOff>38100</xdr:rowOff>
    </xdr:from>
    <xdr:to>
      <xdr:col>7</xdr:col>
      <xdr:colOff>49530</xdr:colOff>
      <xdr:row>27</xdr:row>
      <xdr:rowOff>186690</xdr:rowOff>
    </xdr:to>
    <xdr:graphicFrame macro="">
      <xdr:nvGraphicFramePr>
        <xdr:cNvPr id="4" name="Chart 3">
          <a:extLst>
            <a:ext uri="{FF2B5EF4-FFF2-40B4-BE49-F238E27FC236}">
              <a16:creationId xmlns:a16="http://schemas.microsoft.com/office/drawing/2014/main" id="{98D25E6C-CAC7-735A-F8A1-DBF8D1765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430530</xdr:colOff>
      <xdr:row>31</xdr:row>
      <xdr:rowOff>19050</xdr:rowOff>
    </xdr:from>
    <xdr:to>
      <xdr:col>6</xdr:col>
      <xdr:colOff>617220</xdr:colOff>
      <xdr:row>47</xdr:row>
      <xdr:rowOff>175260</xdr:rowOff>
    </xdr:to>
    <xdr:graphicFrame macro="">
      <xdr:nvGraphicFramePr>
        <xdr:cNvPr id="5" name="Chart 4">
          <a:extLst>
            <a:ext uri="{FF2B5EF4-FFF2-40B4-BE49-F238E27FC236}">
              <a16:creationId xmlns:a16="http://schemas.microsoft.com/office/drawing/2014/main" id="{26F1561D-472B-3734-D8F4-21DCB3DB5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xdr:colOff>
      <xdr:row>51</xdr:row>
      <xdr:rowOff>182880</xdr:rowOff>
    </xdr:from>
    <xdr:to>
      <xdr:col>6</xdr:col>
      <xdr:colOff>358140</xdr:colOff>
      <xdr:row>62</xdr:row>
      <xdr:rowOff>45720</xdr:rowOff>
    </xdr:to>
    <xdr:graphicFrame macro="">
      <xdr:nvGraphicFramePr>
        <xdr:cNvPr id="6" name="Chart 5">
          <a:extLst>
            <a:ext uri="{FF2B5EF4-FFF2-40B4-BE49-F238E27FC236}">
              <a16:creationId xmlns:a16="http://schemas.microsoft.com/office/drawing/2014/main" id="{D4222BAD-2D9C-09E9-7E8C-EB96AEA45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236220</xdr:colOff>
      <xdr:row>65</xdr:row>
      <xdr:rowOff>175260</xdr:rowOff>
    </xdr:from>
    <xdr:to>
      <xdr:col>4</xdr:col>
      <xdr:colOff>411480</xdr:colOff>
      <xdr:row>71</xdr:row>
      <xdr:rowOff>76200</xdr:rowOff>
    </xdr:to>
    <xdr:graphicFrame macro="">
      <xdr:nvGraphicFramePr>
        <xdr:cNvPr id="7" name="Chart 6">
          <a:extLst>
            <a:ext uri="{FF2B5EF4-FFF2-40B4-BE49-F238E27FC236}">
              <a16:creationId xmlns:a16="http://schemas.microsoft.com/office/drawing/2014/main" id="{B42DFC65-6A79-32F6-E770-25334EC7B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243840</xdr:colOff>
      <xdr:row>74</xdr:row>
      <xdr:rowOff>160020</xdr:rowOff>
    </xdr:from>
    <xdr:to>
      <xdr:col>8</xdr:col>
      <xdr:colOff>483870</xdr:colOff>
      <xdr:row>81</xdr:row>
      <xdr:rowOff>95250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7D1224F-29A0-183A-20D6-52385302A1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181600" y="15270480"/>
              <a:ext cx="2251710" cy="1390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392430</xdr:colOff>
      <xdr:row>84</xdr:row>
      <xdr:rowOff>99060</xdr:rowOff>
    </xdr:from>
    <xdr:to>
      <xdr:col>5</xdr:col>
      <xdr:colOff>213360</xdr:colOff>
      <xdr:row>90</xdr:row>
      <xdr:rowOff>22860</xdr:rowOff>
    </xdr:to>
    <xdr:graphicFrame macro="">
      <xdr:nvGraphicFramePr>
        <xdr:cNvPr id="9" name="Chart 8">
          <a:extLst>
            <a:ext uri="{FF2B5EF4-FFF2-40B4-BE49-F238E27FC236}">
              <a16:creationId xmlns:a16="http://schemas.microsoft.com/office/drawing/2014/main" id="{324B852A-9EB9-499D-09CF-BEAC7C6BC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388620</xdr:colOff>
      <xdr:row>91</xdr:row>
      <xdr:rowOff>152400</xdr:rowOff>
    </xdr:from>
    <xdr:to>
      <xdr:col>5</xdr:col>
      <xdr:colOff>228600</xdr:colOff>
      <xdr:row>97</xdr:row>
      <xdr:rowOff>0</xdr:rowOff>
    </xdr:to>
    <xdr:graphicFrame macro="">
      <xdr:nvGraphicFramePr>
        <xdr:cNvPr id="10" name="Chart 9">
          <a:extLst>
            <a:ext uri="{FF2B5EF4-FFF2-40B4-BE49-F238E27FC236}">
              <a16:creationId xmlns:a16="http://schemas.microsoft.com/office/drawing/2014/main" id="{7352B649-E2A8-2B52-5B28-1B8A4D5A6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377190</xdr:colOff>
      <xdr:row>98</xdr:row>
      <xdr:rowOff>129540</xdr:rowOff>
    </xdr:from>
    <xdr:to>
      <xdr:col>5</xdr:col>
      <xdr:colOff>198120</xdr:colOff>
      <xdr:row>104</xdr:row>
      <xdr:rowOff>0</xdr:rowOff>
    </xdr:to>
    <xdr:graphicFrame macro="">
      <xdr:nvGraphicFramePr>
        <xdr:cNvPr id="11" name="Chart 10">
          <a:extLst>
            <a:ext uri="{FF2B5EF4-FFF2-40B4-BE49-F238E27FC236}">
              <a16:creationId xmlns:a16="http://schemas.microsoft.com/office/drawing/2014/main" id="{E7261C8C-61C1-D1CE-63CF-D1A4961A8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571500</xdr:colOff>
      <xdr:row>7</xdr:row>
      <xdr:rowOff>22860</xdr:rowOff>
    </xdr:from>
    <xdr:to>
      <xdr:col>9</xdr:col>
      <xdr:colOff>388620</xdr:colOff>
      <xdr:row>20</xdr:row>
      <xdr:rowOff>66675</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5205D4AB-E1BC-840B-0462-CE559F63CF9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179820" y="15087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7</xdr:row>
      <xdr:rowOff>7620</xdr:rowOff>
    </xdr:from>
    <xdr:to>
      <xdr:col>12</xdr:col>
      <xdr:colOff>617220</xdr:colOff>
      <xdr:row>20</xdr:row>
      <xdr:rowOff>51435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A7CDB4E3-A88F-9383-5FC2-F81E8DB5011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420100" y="14935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260985</xdr:colOff>
      <xdr:row>0</xdr:row>
      <xdr:rowOff>57150</xdr:rowOff>
    </xdr:from>
    <xdr:to>
      <xdr:col>24</xdr:col>
      <xdr:colOff>268665</xdr:colOff>
      <xdr:row>37</xdr:row>
      <xdr:rowOff>9525</xdr:rowOff>
    </xdr:to>
    <xdr:sp macro="" textlink="">
      <xdr:nvSpPr>
        <xdr:cNvPr id="2" name="Rectangle 1">
          <a:extLst>
            <a:ext uri="{FF2B5EF4-FFF2-40B4-BE49-F238E27FC236}">
              <a16:creationId xmlns:a16="http://schemas.microsoft.com/office/drawing/2014/main" id="{ED5A3306-E63F-2ECF-123F-EE36876F61FC}"/>
            </a:ext>
          </a:extLst>
        </xdr:cNvPr>
        <xdr:cNvSpPr/>
      </xdr:nvSpPr>
      <xdr:spPr>
        <a:xfrm>
          <a:off x="1594485" y="57150"/>
          <a:ext cx="14676180" cy="73533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404812</xdr:colOff>
      <xdr:row>0</xdr:row>
      <xdr:rowOff>152400</xdr:rowOff>
    </xdr:from>
    <xdr:to>
      <xdr:col>6</xdr:col>
      <xdr:colOff>80962</xdr:colOff>
      <xdr:row>36</xdr:row>
      <xdr:rowOff>123826</xdr:rowOff>
    </xdr:to>
    <xdr:sp macro="" textlink="">
      <xdr:nvSpPr>
        <xdr:cNvPr id="3" name="Rectangle: Top Corners Rounded 2">
          <a:extLst>
            <a:ext uri="{FF2B5EF4-FFF2-40B4-BE49-F238E27FC236}">
              <a16:creationId xmlns:a16="http://schemas.microsoft.com/office/drawing/2014/main" id="{3AB1E067-9974-BC98-B448-55D5C15A96EA}"/>
            </a:ext>
          </a:extLst>
        </xdr:cNvPr>
        <xdr:cNvSpPr/>
      </xdr:nvSpPr>
      <xdr:spPr>
        <a:xfrm rot="5400000">
          <a:off x="-676276" y="2566988"/>
          <a:ext cx="7172326" cy="234315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590550</xdr:colOff>
      <xdr:row>0</xdr:row>
      <xdr:rowOff>38100</xdr:rowOff>
    </xdr:from>
    <xdr:to>
      <xdr:col>5</xdr:col>
      <xdr:colOff>542925</xdr:colOff>
      <xdr:row>3</xdr:row>
      <xdr:rowOff>200024</xdr:rowOff>
    </xdr:to>
    <xdr:sp macro="" textlink="">
      <xdr:nvSpPr>
        <xdr:cNvPr id="4" name="TextBox 3">
          <a:extLst>
            <a:ext uri="{FF2B5EF4-FFF2-40B4-BE49-F238E27FC236}">
              <a16:creationId xmlns:a16="http://schemas.microsoft.com/office/drawing/2014/main" id="{270780B5-5F69-0EA8-5D3D-7989BC0E73AC}"/>
            </a:ext>
          </a:extLst>
        </xdr:cNvPr>
        <xdr:cNvSpPr txBox="1"/>
      </xdr:nvSpPr>
      <xdr:spPr>
        <a:xfrm>
          <a:off x="1924050" y="38100"/>
          <a:ext cx="1952625"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47625</xdr:colOff>
      <xdr:row>2</xdr:row>
      <xdr:rowOff>152401</xdr:rowOff>
    </xdr:from>
    <xdr:to>
      <xdr:col>5</xdr:col>
      <xdr:colOff>457200</xdr:colOff>
      <xdr:row>4</xdr:row>
      <xdr:rowOff>152401</xdr:rowOff>
    </xdr:to>
    <xdr:sp macro="" textlink="">
      <xdr:nvSpPr>
        <xdr:cNvPr id="5" name="TextBox 4">
          <a:extLst>
            <a:ext uri="{FF2B5EF4-FFF2-40B4-BE49-F238E27FC236}">
              <a16:creationId xmlns:a16="http://schemas.microsoft.com/office/drawing/2014/main" id="{93C38DFA-7D79-412E-8F33-E030841464FE}"/>
            </a:ext>
          </a:extLst>
        </xdr:cNvPr>
        <xdr:cNvSpPr txBox="1"/>
      </xdr:nvSpPr>
      <xdr:spPr>
        <a:xfrm>
          <a:off x="2047875" y="552451"/>
          <a:ext cx="17430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Narrow" panose="020B0004020202020204" pitchFamily="34" charset="0"/>
              <a:ea typeface="Segoe UI Black" panose="020B0A02040204020203" pitchFamily="34" charset="0"/>
            </a:rPr>
            <a:t>India's</a:t>
          </a:r>
          <a:r>
            <a:rPr lang="en-IN" sz="1200" b="1" baseline="0">
              <a:solidFill>
                <a:schemeClr val="dk1"/>
              </a:solidFill>
              <a:latin typeface="Aptos Narrow"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Narrow" panose="020B0004020202020204" pitchFamily="34" charset="0"/>
            <a:ea typeface="Segoe UI Black" panose="020B0A02040204020203" pitchFamily="34" charset="0"/>
          </a:endParaRPr>
        </a:p>
      </xdr:txBody>
    </xdr:sp>
    <xdr:clientData/>
  </xdr:twoCellAnchor>
  <xdr:twoCellAnchor>
    <xdr:from>
      <xdr:col>6</xdr:col>
      <xdr:colOff>252412</xdr:colOff>
      <xdr:row>1</xdr:row>
      <xdr:rowOff>28575</xdr:rowOff>
    </xdr:from>
    <xdr:to>
      <xdr:col>14</xdr:col>
      <xdr:colOff>602400</xdr:colOff>
      <xdr:row>12</xdr:row>
      <xdr:rowOff>133200</xdr:rowOff>
    </xdr:to>
    <xdr:grpSp>
      <xdr:nvGrpSpPr>
        <xdr:cNvPr id="10" name="Group 9">
          <a:extLst>
            <a:ext uri="{FF2B5EF4-FFF2-40B4-BE49-F238E27FC236}">
              <a16:creationId xmlns:a16="http://schemas.microsoft.com/office/drawing/2014/main" id="{20B4E83B-A80B-B2CD-BAA7-EE3E2F1D75A6}"/>
            </a:ext>
          </a:extLst>
        </xdr:cNvPr>
        <xdr:cNvGrpSpPr/>
      </xdr:nvGrpSpPr>
      <xdr:grpSpPr>
        <a:xfrm>
          <a:off x="4252912" y="228600"/>
          <a:ext cx="5683988" cy="2304900"/>
          <a:chOff x="4252912" y="228600"/>
          <a:chExt cx="5683988" cy="2304900"/>
        </a:xfrm>
      </xdr:grpSpPr>
      <xdr:sp macro="" textlink="">
        <xdr:nvSpPr>
          <xdr:cNvPr id="6" name="Rectangle: Rounded Corners 5">
            <a:extLst>
              <a:ext uri="{FF2B5EF4-FFF2-40B4-BE49-F238E27FC236}">
                <a16:creationId xmlns:a16="http://schemas.microsoft.com/office/drawing/2014/main" id="{82454C82-7E80-AA44-4E71-3ECE4A291876}"/>
              </a:ext>
            </a:extLst>
          </xdr:cNvPr>
          <xdr:cNvSpPr/>
        </xdr:nvSpPr>
        <xdr:spPr>
          <a:xfrm>
            <a:off x="4252912" y="228600"/>
            <a:ext cx="2736000" cy="1047600"/>
          </a:xfrm>
          <a:prstGeom prst="roundRect">
            <a:avLst>
              <a:gd name="adj" fmla="val 6666"/>
            </a:avLst>
          </a:prstGeom>
          <a:gradFill flip="none" rotWithShape="1">
            <a:gsLst>
              <a:gs pos="0">
                <a:srgbClr val="FFD200">
                  <a:alpha val="60000"/>
                </a:srgbClr>
              </a:gs>
              <a:gs pos="39000">
                <a:schemeClr val="accent6">
                  <a:lumMod val="97000"/>
                  <a:lumOff val="3000"/>
                  <a:alpha val="49000"/>
                </a:schemeClr>
              </a:gs>
              <a:gs pos="100000">
                <a:schemeClr val="accent6">
                  <a:lumMod val="50000"/>
                  <a:alpha val="8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D114537-A234-4E68-867E-FA713E2FEE72}"/>
              </a:ext>
            </a:extLst>
          </xdr:cNvPr>
          <xdr:cNvSpPr/>
        </xdr:nvSpPr>
        <xdr:spPr>
          <a:xfrm>
            <a:off x="7200900" y="228600"/>
            <a:ext cx="2736000" cy="1047600"/>
          </a:xfrm>
          <a:prstGeom prst="roundRect">
            <a:avLst>
              <a:gd name="adj" fmla="val 393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2934C33-D23C-44CF-9A12-4E8AEC1993B3}"/>
              </a:ext>
            </a:extLst>
          </xdr:cNvPr>
          <xdr:cNvSpPr/>
        </xdr:nvSpPr>
        <xdr:spPr>
          <a:xfrm>
            <a:off x="7200900" y="1485900"/>
            <a:ext cx="2736000" cy="1047600"/>
          </a:xfrm>
          <a:prstGeom prst="roundRect">
            <a:avLst>
              <a:gd name="adj" fmla="val 939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D4159DB-5A7C-4204-940C-D0734DBECF0C}"/>
              </a:ext>
            </a:extLst>
          </xdr:cNvPr>
          <xdr:cNvSpPr/>
        </xdr:nvSpPr>
        <xdr:spPr>
          <a:xfrm>
            <a:off x="4252912" y="1485900"/>
            <a:ext cx="2736000" cy="1047600"/>
          </a:xfrm>
          <a:prstGeom prst="roundRect">
            <a:avLst>
              <a:gd name="adj" fmla="val 1121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438150</xdr:colOff>
      <xdr:row>1</xdr:row>
      <xdr:rowOff>176213</xdr:rowOff>
    </xdr:from>
    <xdr:to>
      <xdr:col>8</xdr:col>
      <xdr:colOff>476250</xdr:colOff>
      <xdr:row>3</xdr:row>
      <xdr:rowOff>195263</xdr:rowOff>
    </xdr:to>
    <xdr:sp macro="" textlink="'Sheets Design'!A8">
      <xdr:nvSpPr>
        <xdr:cNvPr id="11" name="TextBox 10">
          <a:extLst>
            <a:ext uri="{FF2B5EF4-FFF2-40B4-BE49-F238E27FC236}">
              <a16:creationId xmlns:a16="http://schemas.microsoft.com/office/drawing/2014/main" id="{5E519477-5A50-5083-AACD-BC82376D1384}"/>
            </a:ext>
          </a:extLst>
        </xdr:cNvPr>
        <xdr:cNvSpPr txBox="1"/>
      </xdr:nvSpPr>
      <xdr:spPr>
        <a:xfrm>
          <a:off x="4438650" y="376238"/>
          <a:ext cx="1371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DC86CF-592E-426D-A52A-F1B15DFAB67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361951</xdr:colOff>
      <xdr:row>3</xdr:row>
      <xdr:rowOff>19050</xdr:rowOff>
    </xdr:from>
    <xdr:to>
      <xdr:col>8</xdr:col>
      <xdr:colOff>590551</xdr:colOff>
      <xdr:row>5</xdr:row>
      <xdr:rowOff>142875</xdr:rowOff>
    </xdr:to>
    <xdr:sp macro="" textlink="">
      <xdr:nvSpPr>
        <xdr:cNvPr id="13" name="TextBox 12">
          <a:extLst>
            <a:ext uri="{FF2B5EF4-FFF2-40B4-BE49-F238E27FC236}">
              <a16:creationId xmlns:a16="http://schemas.microsoft.com/office/drawing/2014/main" id="{3B72A8F5-82CA-70C1-307B-C3438F153853}"/>
            </a:ext>
          </a:extLst>
        </xdr:cNvPr>
        <xdr:cNvSpPr txBox="1"/>
      </xdr:nvSpPr>
      <xdr:spPr>
        <a:xfrm>
          <a:off x="4362451" y="619125"/>
          <a:ext cx="1562100"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Variable Display" pitchFamily="2" charset="0"/>
              <a:ea typeface="Segoe UI Black" panose="020B0A02040204020203" pitchFamily="34" charset="0"/>
            </a:rPr>
            <a:t>TOTAL</a:t>
          </a:r>
          <a:r>
            <a:rPr lang="en-IN" sz="1200" b="1" baseline="0">
              <a:latin typeface="Segoe UI Variable Display" pitchFamily="2" charset="0"/>
              <a:ea typeface="Segoe UI Black" panose="020B0A02040204020203" pitchFamily="34" charset="0"/>
            </a:rPr>
            <a:t> SALES</a:t>
          </a:r>
          <a:endParaRPr lang="en-IN" sz="1200" b="1">
            <a:latin typeface="Segoe UI Variable Display" pitchFamily="2" charset="0"/>
            <a:ea typeface="Segoe UI Black" panose="020B0A02040204020203" pitchFamily="34" charset="0"/>
          </a:endParaRPr>
        </a:p>
      </xdr:txBody>
    </xdr:sp>
    <xdr:clientData/>
  </xdr:twoCellAnchor>
  <xdr:twoCellAnchor>
    <xdr:from>
      <xdr:col>6</xdr:col>
      <xdr:colOff>247650</xdr:colOff>
      <xdr:row>7</xdr:row>
      <xdr:rowOff>157163</xdr:rowOff>
    </xdr:from>
    <xdr:to>
      <xdr:col>8</xdr:col>
      <xdr:colOff>285750</xdr:colOff>
      <xdr:row>9</xdr:row>
      <xdr:rowOff>176213</xdr:rowOff>
    </xdr:to>
    <xdr:sp macro="" textlink="'Sheets Design'!D8">
      <xdr:nvSpPr>
        <xdr:cNvPr id="14" name="TextBox 13">
          <a:extLst>
            <a:ext uri="{FF2B5EF4-FFF2-40B4-BE49-F238E27FC236}">
              <a16:creationId xmlns:a16="http://schemas.microsoft.com/office/drawing/2014/main" id="{73CF9265-3651-48A5-BE7E-0A7DF668F09E}"/>
            </a:ext>
          </a:extLst>
        </xdr:cNvPr>
        <xdr:cNvSpPr txBox="1"/>
      </xdr:nvSpPr>
      <xdr:spPr>
        <a:xfrm>
          <a:off x="4248150" y="1557338"/>
          <a:ext cx="1371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7175265-1F0F-451C-A064-AE1C9266B4D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228600</xdr:colOff>
      <xdr:row>3</xdr:row>
      <xdr:rowOff>190500</xdr:rowOff>
    </xdr:from>
    <xdr:to>
      <xdr:col>13</xdr:col>
      <xdr:colOff>19050</xdr:colOff>
      <xdr:row>5</xdr:row>
      <xdr:rowOff>133350</xdr:rowOff>
    </xdr:to>
    <xdr:sp macro="" textlink="">
      <xdr:nvSpPr>
        <xdr:cNvPr id="17" name="TextBox 16">
          <a:extLst>
            <a:ext uri="{FF2B5EF4-FFF2-40B4-BE49-F238E27FC236}">
              <a16:creationId xmlns:a16="http://schemas.microsoft.com/office/drawing/2014/main" id="{4EEC19C8-4356-FCD5-F847-923C70A9942C}"/>
            </a:ext>
          </a:extLst>
        </xdr:cNvPr>
        <xdr:cNvSpPr txBox="1"/>
      </xdr:nvSpPr>
      <xdr:spPr>
        <a:xfrm>
          <a:off x="7562850" y="790575"/>
          <a:ext cx="11239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Segoe UI Variable Display" pitchFamily="2" charset="0"/>
              <a:ea typeface="Segoe UI Black" panose="020B0A02040204020203" pitchFamily="34" charset="0"/>
              <a:cs typeface="+mn-cs"/>
            </a:rPr>
            <a:t>AVG</a:t>
          </a:r>
          <a:r>
            <a:rPr lang="en-IN" sz="1100" b="1"/>
            <a:t> SALES</a:t>
          </a:r>
        </a:p>
      </xdr:txBody>
    </xdr:sp>
    <xdr:clientData/>
  </xdr:twoCellAnchor>
  <xdr:twoCellAnchor>
    <xdr:from>
      <xdr:col>11</xdr:col>
      <xdr:colOff>9525</xdr:colOff>
      <xdr:row>1</xdr:row>
      <xdr:rowOff>147638</xdr:rowOff>
    </xdr:from>
    <xdr:to>
      <xdr:col>13</xdr:col>
      <xdr:colOff>47625</xdr:colOff>
      <xdr:row>3</xdr:row>
      <xdr:rowOff>166688</xdr:rowOff>
    </xdr:to>
    <xdr:sp macro="" textlink="'Sheets Design'!B8">
      <xdr:nvSpPr>
        <xdr:cNvPr id="18" name="TextBox 17">
          <a:extLst>
            <a:ext uri="{FF2B5EF4-FFF2-40B4-BE49-F238E27FC236}">
              <a16:creationId xmlns:a16="http://schemas.microsoft.com/office/drawing/2014/main" id="{D41971DA-3EBD-41D4-9433-21A058BE596C}"/>
            </a:ext>
          </a:extLst>
        </xdr:cNvPr>
        <xdr:cNvSpPr txBox="1"/>
      </xdr:nvSpPr>
      <xdr:spPr>
        <a:xfrm>
          <a:off x="7343775" y="347663"/>
          <a:ext cx="1371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8CF617B-72E8-4390-AA15-C9DC9FC7EEB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342900</xdr:colOff>
      <xdr:row>9</xdr:row>
      <xdr:rowOff>152400</xdr:rowOff>
    </xdr:from>
    <xdr:to>
      <xdr:col>8</xdr:col>
      <xdr:colOff>266700</xdr:colOff>
      <xdr:row>12</xdr:row>
      <xdr:rowOff>0</xdr:rowOff>
    </xdr:to>
    <xdr:sp macro="" textlink="">
      <xdr:nvSpPr>
        <xdr:cNvPr id="19" name="TextBox 18">
          <a:extLst>
            <a:ext uri="{FF2B5EF4-FFF2-40B4-BE49-F238E27FC236}">
              <a16:creationId xmlns:a16="http://schemas.microsoft.com/office/drawing/2014/main" id="{B8D38EDD-1015-6BDF-5D94-60F3744E9D0A}"/>
            </a:ext>
          </a:extLst>
        </xdr:cNvPr>
        <xdr:cNvSpPr txBox="1"/>
      </xdr:nvSpPr>
      <xdr:spPr>
        <a:xfrm>
          <a:off x="4343400" y="1952625"/>
          <a:ext cx="12573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NO OF ITEMS</a:t>
          </a:r>
        </a:p>
      </xdr:txBody>
    </xdr:sp>
    <xdr:clientData/>
  </xdr:twoCellAnchor>
  <xdr:twoCellAnchor>
    <xdr:from>
      <xdr:col>10</xdr:col>
      <xdr:colOff>552450</xdr:colOff>
      <xdr:row>7</xdr:row>
      <xdr:rowOff>128588</xdr:rowOff>
    </xdr:from>
    <xdr:to>
      <xdr:col>12</xdr:col>
      <xdr:colOff>590550</xdr:colOff>
      <xdr:row>9</xdr:row>
      <xdr:rowOff>147638</xdr:rowOff>
    </xdr:to>
    <xdr:sp macro="" textlink="'Sheets Design'!C8">
      <xdr:nvSpPr>
        <xdr:cNvPr id="20" name="TextBox 19">
          <a:extLst>
            <a:ext uri="{FF2B5EF4-FFF2-40B4-BE49-F238E27FC236}">
              <a16:creationId xmlns:a16="http://schemas.microsoft.com/office/drawing/2014/main" id="{1CE318C2-9596-48B6-8355-56CAE5DBF45C}"/>
            </a:ext>
          </a:extLst>
        </xdr:cNvPr>
        <xdr:cNvSpPr txBox="1"/>
      </xdr:nvSpPr>
      <xdr:spPr>
        <a:xfrm>
          <a:off x="7219950" y="1528763"/>
          <a:ext cx="13716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07225AB-D882-47B3-9E5D-3CD72C21EAA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47625</xdr:colOff>
      <xdr:row>9</xdr:row>
      <xdr:rowOff>123825</xdr:rowOff>
    </xdr:from>
    <xdr:to>
      <xdr:col>13</xdr:col>
      <xdr:colOff>57150</xdr:colOff>
      <xdr:row>11</xdr:row>
      <xdr:rowOff>114300</xdr:rowOff>
    </xdr:to>
    <xdr:sp macro="" textlink="">
      <xdr:nvSpPr>
        <xdr:cNvPr id="21" name="TextBox 20">
          <a:extLst>
            <a:ext uri="{FF2B5EF4-FFF2-40B4-BE49-F238E27FC236}">
              <a16:creationId xmlns:a16="http://schemas.microsoft.com/office/drawing/2014/main" id="{C7D4BE5F-1052-B1D7-E0C1-E66F349D324D}"/>
            </a:ext>
          </a:extLst>
        </xdr:cNvPr>
        <xdr:cNvSpPr txBox="1"/>
      </xdr:nvSpPr>
      <xdr:spPr>
        <a:xfrm>
          <a:off x="7381875" y="1924050"/>
          <a:ext cx="13430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Variable Display" pitchFamily="2" charset="0"/>
            </a:rPr>
            <a:t>AVG RATING</a:t>
          </a:r>
        </a:p>
      </xdr:txBody>
    </xdr:sp>
    <xdr:clientData/>
  </xdr:twoCellAnchor>
  <xdr:twoCellAnchor editAs="oneCell">
    <xdr:from>
      <xdr:col>14</xdr:col>
      <xdr:colOff>104775</xdr:colOff>
      <xdr:row>1</xdr:row>
      <xdr:rowOff>153537</xdr:rowOff>
    </xdr:from>
    <xdr:to>
      <xdr:col>14</xdr:col>
      <xdr:colOff>411479</xdr:colOff>
      <xdr:row>3</xdr:row>
      <xdr:rowOff>64768</xdr:rowOff>
    </xdr:to>
    <xdr:pic>
      <xdr:nvPicPr>
        <xdr:cNvPr id="22" name="Picture 21">
          <a:extLst>
            <a:ext uri="{FF2B5EF4-FFF2-40B4-BE49-F238E27FC236}">
              <a16:creationId xmlns:a16="http://schemas.microsoft.com/office/drawing/2014/main" id="{271AA128-04C9-F2D7-DAF7-77BFD920B0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39275" y="353562"/>
          <a:ext cx="306704" cy="311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523875</xdr:colOff>
      <xdr:row>8</xdr:row>
      <xdr:rowOff>11374</xdr:rowOff>
    </xdr:from>
    <xdr:to>
      <xdr:col>10</xdr:col>
      <xdr:colOff>116203</xdr:colOff>
      <xdr:row>9</xdr:row>
      <xdr:rowOff>74293</xdr:rowOff>
    </xdr:to>
    <xdr:pic>
      <xdr:nvPicPr>
        <xdr:cNvPr id="23" name="Picture 22">
          <a:extLst>
            <a:ext uri="{FF2B5EF4-FFF2-40B4-BE49-F238E27FC236}">
              <a16:creationId xmlns:a16="http://schemas.microsoft.com/office/drawing/2014/main" id="{9BDDD064-9AE1-638C-9E57-A9565A81DA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24625" y="1611574"/>
          <a:ext cx="259078" cy="262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141474</xdr:colOff>
      <xdr:row>7</xdr:row>
      <xdr:rowOff>133350</xdr:rowOff>
    </xdr:from>
    <xdr:to>
      <xdr:col>14</xdr:col>
      <xdr:colOff>430529</xdr:colOff>
      <xdr:row>9</xdr:row>
      <xdr:rowOff>26669</xdr:rowOff>
    </xdr:to>
    <xdr:pic>
      <xdr:nvPicPr>
        <xdr:cNvPr id="24" name="Picture 23">
          <a:extLst>
            <a:ext uri="{FF2B5EF4-FFF2-40B4-BE49-F238E27FC236}">
              <a16:creationId xmlns:a16="http://schemas.microsoft.com/office/drawing/2014/main" id="{C65DA27E-1257-341B-C7E5-50507C242C7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475974" y="1533525"/>
          <a:ext cx="289055" cy="293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447675</xdr:colOff>
      <xdr:row>1</xdr:row>
      <xdr:rowOff>37389</xdr:rowOff>
    </xdr:from>
    <xdr:to>
      <xdr:col>10</xdr:col>
      <xdr:colOff>211454</xdr:colOff>
      <xdr:row>3</xdr:row>
      <xdr:rowOff>74294</xdr:rowOff>
    </xdr:to>
    <xdr:pic>
      <xdr:nvPicPr>
        <xdr:cNvPr id="25" name="Picture 24">
          <a:extLst>
            <a:ext uri="{FF2B5EF4-FFF2-40B4-BE49-F238E27FC236}">
              <a16:creationId xmlns:a16="http://schemas.microsoft.com/office/drawing/2014/main" id="{18364D39-CF48-365A-B22E-AA939CAA068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48425" y="237414"/>
          <a:ext cx="430529" cy="436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271462</xdr:colOff>
      <xdr:row>13</xdr:row>
      <xdr:rowOff>66674</xdr:rowOff>
    </xdr:from>
    <xdr:to>
      <xdr:col>14</xdr:col>
      <xdr:colOff>533400</xdr:colOff>
      <xdr:row>36</xdr:row>
      <xdr:rowOff>104774</xdr:rowOff>
    </xdr:to>
    <xdr:sp macro="" textlink="">
      <xdr:nvSpPr>
        <xdr:cNvPr id="12" name="Rectangle: Rounded Corners 11">
          <a:extLst>
            <a:ext uri="{FF2B5EF4-FFF2-40B4-BE49-F238E27FC236}">
              <a16:creationId xmlns:a16="http://schemas.microsoft.com/office/drawing/2014/main" id="{4ADFAE64-E999-4889-B9D3-1418B7F4D859}"/>
            </a:ext>
          </a:extLst>
        </xdr:cNvPr>
        <xdr:cNvSpPr/>
      </xdr:nvSpPr>
      <xdr:spPr>
        <a:xfrm>
          <a:off x="4271962" y="2666999"/>
          <a:ext cx="5595938" cy="4638675"/>
        </a:xfrm>
        <a:prstGeom prst="roundRect">
          <a:avLst>
            <a:gd name="adj" fmla="val 302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347662</xdr:colOff>
      <xdr:row>13</xdr:row>
      <xdr:rowOff>190499</xdr:rowOff>
    </xdr:from>
    <xdr:to>
      <xdr:col>9</xdr:col>
      <xdr:colOff>651412</xdr:colOff>
      <xdr:row>23</xdr:row>
      <xdr:rowOff>159449</xdr:rowOff>
    </xdr:to>
    <xdr:graphicFrame macro="">
      <xdr:nvGraphicFramePr>
        <xdr:cNvPr id="15" name="Chart 14">
          <a:extLst>
            <a:ext uri="{FF2B5EF4-FFF2-40B4-BE49-F238E27FC236}">
              <a16:creationId xmlns:a16="http://schemas.microsoft.com/office/drawing/2014/main" id="{3BC656EB-F854-42D4-8699-B8CB72F20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285750</xdr:colOff>
      <xdr:row>12</xdr:row>
      <xdr:rowOff>152400</xdr:rowOff>
    </xdr:from>
    <xdr:to>
      <xdr:col>8</xdr:col>
      <xdr:colOff>209550</xdr:colOff>
      <xdr:row>15</xdr:row>
      <xdr:rowOff>0</xdr:rowOff>
    </xdr:to>
    <xdr:sp macro="" textlink="">
      <xdr:nvSpPr>
        <xdr:cNvPr id="28" name="TextBox 27">
          <a:extLst>
            <a:ext uri="{FF2B5EF4-FFF2-40B4-BE49-F238E27FC236}">
              <a16:creationId xmlns:a16="http://schemas.microsoft.com/office/drawing/2014/main" id="{AD475A5C-5514-4AEB-A25C-4BCB8119D622}"/>
            </a:ext>
          </a:extLst>
        </xdr:cNvPr>
        <xdr:cNvSpPr txBox="1"/>
      </xdr:nvSpPr>
      <xdr:spPr>
        <a:xfrm>
          <a:off x="4286250" y="2552700"/>
          <a:ext cx="12573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Variable Display" pitchFamily="2" charset="0"/>
            </a:rPr>
            <a:t>FAT</a:t>
          </a:r>
          <a:r>
            <a:rPr lang="en-IN" sz="1200" b="1" baseline="0">
              <a:solidFill>
                <a:schemeClr val="tx1">
                  <a:lumMod val="75000"/>
                  <a:lumOff val="25000"/>
                </a:schemeClr>
              </a:solidFill>
              <a:latin typeface="Segoe UI Variable Display" pitchFamily="2" charset="0"/>
            </a:rPr>
            <a:t> CONTENT</a:t>
          </a:r>
          <a:endParaRPr lang="en-IN" sz="1200" b="1">
            <a:solidFill>
              <a:schemeClr val="tx1">
                <a:lumMod val="75000"/>
                <a:lumOff val="25000"/>
              </a:schemeClr>
            </a:solidFill>
            <a:latin typeface="Segoe UI Variable Display" pitchFamily="2" charset="0"/>
          </a:endParaRPr>
        </a:p>
      </xdr:txBody>
    </xdr:sp>
    <xdr:clientData/>
  </xdr:twoCellAnchor>
  <xdr:twoCellAnchor>
    <xdr:from>
      <xdr:col>10</xdr:col>
      <xdr:colOff>402431</xdr:colOff>
      <xdr:row>13</xdr:row>
      <xdr:rowOff>66674</xdr:rowOff>
    </xdr:from>
    <xdr:to>
      <xdr:col>10</xdr:col>
      <xdr:colOff>402431</xdr:colOff>
      <xdr:row>36</xdr:row>
      <xdr:rowOff>104774</xdr:rowOff>
    </xdr:to>
    <xdr:cxnSp macro="">
      <xdr:nvCxnSpPr>
        <xdr:cNvPr id="26" name="Straight Connector 25">
          <a:extLst>
            <a:ext uri="{FF2B5EF4-FFF2-40B4-BE49-F238E27FC236}">
              <a16:creationId xmlns:a16="http://schemas.microsoft.com/office/drawing/2014/main" id="{325BA21C-EC9F-0606-D98C-01CFD6F07A1D}"/>
            </a:ext>
          </a:extLst>
        </xdr:cNvPr>
        <xdr:cNvCxnSpPr>
          <a:stCxn id="12" idx="0"/>
          <a:endCxn id="12" idx="2"/>
        </xdr:cNvCxnSpPr>
      </xdr:nvCxnSpPr>
      <xdr:spPr>
        <a:xfrm>
          <a:off x="7069931" y="2666999"/>
          <a:ext cx="0" cy="46386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123828</xdr:colOff>
      <xdr:row>24</xdr:row>
      <xdr:rowOff>57150</xdr:rowOff>
    </xdr:from>
    <xdr:to>
      <xdr:col>10</xdr:col>
      <xdr:colOff>400050</xdr:colOff>
      <xdr:row>24</xdr:row>
      <xdr:rowOff>123825</xdr:rowOff>
    </xdr:to>
    <xdr:cxnSp macro="">
      <xdr:nvCxnSpPr>
        <xdr:cNvPr id="27" name="Straight Connector 26">
          <a:extLst>
            <a:ext uri="{FF2B5EF4-FFF2-40B4-BE49-F238E27FC236}">
              <a16:creationId xmlns:a16="http://schemas.microsoft.com/office/drawing/2014/main" id="{EAAF5836-A1EB-482C-967B-33B6AFF13645}"/>
            </a:ext>
          </a:extLst>
        </xdr:cNvPr>
        <xdr:cNvCxnSpPr/>
      </xdr:nvCxnSpPr>
      <xdr:spPr>
        <a:xfrm>
          <a:off x="4124328" y="4857750"/>
          <a:ext cx="2943222" cy="6667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209550</xdr:colOff>
      <xdr:row>26</xdr:row>
      <xdr:rowOff>114300</xdr:rowOff>
    </xdr:from>
    <xdr:to>
      <xdr:col>10</xdr:col>
      <xdr:colOff>390525</xdr:colOff>
      <xdr:row>36</xdr:row>
      <xdr:rowOff>45720</xdr:rowOff>
    </xdr:to>
    <xdr:graphicFrame macro="">
      <xdr:nvGraphicFramePr>
        <xdr:cNvPr id="16" name="Chart 15">
          <a:extLst>
            <a:ext uri="{FF2B5EF4-FFF2-40B4-BE49-F238E27FC236}">
              <a16:creationId xmlns:a16="http://schemas.microsoft.com/office/drawing/2014/main" id="{72AB5C2D-68BC-4849-BE79-471E50196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247649</xdr:colOff>
      <xdr:row>24</xdr:row>
      <xdr:rowOff>190500</xdr:rowOff>
    </xdr:from>
    <xdr:to>
      <xdr:col>8</xdr:col>
      <xdr:colOff>390524</xdr:colOff>
      <xdr:row>27</xdr:row>
      <xdr:rowOff>38100</xdr:rowOff>
    </xdr:to>
    <xdr:sp macro="" textlink="">
      <xdr:nvSpPr>
        <xdr:cNvPr id="30" name="TextBox 29">
          <a:extLst>
            <a:ext uri="{FF2B5EF4-FFF2-40B4-BE49-F238E27FC236}">
              <a16:creationId xmlns:a16="http://schemas.microsoft.com/office/drawing/2014/main" id="{02005509-8598-4C43-BC93-37AB7BB34CC3}"/>
            </a:ext>
          </a:extLst>
        </xdr:cNvPr>
        <xdr:cNvSpPr txBox="1"/>
      </xdr:nvSpPr>
      <xdr:spPr>
        <a:xfrm>
          <a:off x="4248149" y="4991100"/>
          <a:ext cx="14763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Variable Display" pitchFamily="2" charset="0"/>
            </a:rPr>
            <a:t>FAT</a:t>
          </a:r>
          <a:r>
            <a:rPr lang="en-IN" sz="1200" b="1" baseline="0">
              <a:solidFill>
                <a:schemeClr val="tx1">
                  <a:lumMod val="75000"/>
                  <a:lumOff val="25000"/>
                </a:schemeClr>
              </a:solidFill>
              <a:latin typeface="Segoe UI Variable Display" pitchFamily="2" charset="0"/>
            </a:rPr>
            <a:t> BY OUTLET</a:t>
          </a:r>
          <a:endParaRPr lang="en-IN" sz="1200" b="1">
            <a:solidFill>
              <a:schemeClr val="tx1">
                <a:lumMod val="75000"/>
                <a:lumOff val="25000"/>
              </a:schemeClr>
            </a:solidFill>
            <a:latin typeface="Segoe UI Variable Display" pitchFamily="2" charset="0"/>
          </a:endParaRPr>
        </a:p>
      </xdr:txBody>
    </xdr:sp>
    <xdr:clientData/>
  </xdr:twoCellAnchor>
  <xdr:twoCellAnchor>
    <xdr:from>
      <xdr:col>10</xdr:col>
      <xdr:colOff>514350</xdr:colOff>
      <xdr:row>13</xdr:row>
      <xdr:rowOff>28575</xdr:rowOff>
    </xdr:from>
    <xdr:to>
      <xdr:col>12</xdr:col>
      <xdr:colOff>438150</xdr:colOff>
      <xdr:row>15</xdr:row>
      <xdr:rowOff>76200</xdr:rowOff>
    </xdr:to>
    <xdr:sp macro="" textlink="">
      <xdr:nvSpPr>
        <xdr:cNvPr id="31" name="TextBox 30">
          <a:extLst>
            <a:ext uri="{FF2B5EF4-FFF2-40B4-BE49-F238E27FC236}">
              <a16:creationId xmlns:a16="http://schemas.microsoft.com/office/drawing/2014/main" id="{827C8BF8-5A6C-445E-8BDF-5F975C0F3469}"/>
            </a:ext>
          </a:extLst>
        </xdr:cNvPr>
        <xdr:cNvSpPr txBox="1"/>
      </xdr:nvSpPr>
      <xdr:spPr>
        <a:xfrm>
          <a:off x="7181850" y="2628900"/>
          <a:ext cx="12573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75000"/>
                  <a:lumOff val="25000"/>
                </a:schemeClr>
              </a:solidFill>
              <a:latin typeface="Segoe UI Variable Display" pitchFamily="2" charset="0"/>
            </a:rPr>
            <a:t>ITEM</a:t>
          </a:r>
          <a:r>
            <a:rPr lang="en-IN" sz="1200" b="1" baseline="0">
              <a:solidFill>
                <a:schemeClr val="tx1">
                  <a:lumMod val="75000"/>
                  <a:lumOff val="25000"/>
                </a:schemeClr>
              </a:solidFill>
              <a:latin typeface="Segoe UI Variable Display" pitchFamily="2" charset="0"/>
            </a:rPr>
            <a:t> TYPE</a:t>
          </a:r>
          <a:endParaRPr lang="en-IN" sz="1200" b="1">
            <a:solidFill>
              <a:schemeClr val="tx1">
                <a:lumMod val="75000"/>
                <a:lumOff val="25000"/>
              </a:schemeClr>
            </a:solidFill>
            <a:latin typeface="Segoe UI Variable Display" pitchFamily="2" charset="0"/>
          </a:endParaRPr>
        </a:p>
      </xdr:txBody>
    </xdr:sp>
    <xdr:clientData/>
  </xdr:twoCellAnchor>
  <xdr:twoCellAnchor>
    <xdr:from>
      <xdr:col>15</xdr:col>
      <xdr:colOff>114301</xdr:colOff>
      <xdr:row>0</xdr:row>
      <xdr:rowOff>142874</xdr:rowOff>
    </xdr:from>
    <xdr:to>
      <xdr:col>24</xdr:col>
      <xdr:colOff>133351</xdr:colOff>
      <xdr:row>36</xdr:row>
      <xdr:rowOff>85725</xdr:rowOff>
    </xdr:to>
    <xdr:sp macro="" textlink="">
      <xdr:nvSpPr>
        <xdr:cNvPr id="33" name="Rectangle: Rounded Corners 32">
          <a:extLst>
            <a:ext uri="{FF2B5EF4-FFF2-40B4-BE49-F238E27FC236}">
              <a16:creationId xmlns:a16="http://schemas.microsoft.com/office/drawing/2014/main" id="{810544A6-5DFF-4E10-B927-0CA4D7BDFBFA}"/>
            </a:ext>
          </a:extLst>
        </xdr:cNvPr>
        <xdr:cNvSpPr/>
      </xdr:nvSpPr>
      <xdr:spPr>
        <a:xfrm>
          <a:off x="10115551" y="142874"/>
          <a:ext cx="6019800" cy="7143751"/>
        </a:xfrm>
        <a:prstGeom prst="roundRect">
          <a:avLst>
            <a:gd name="adj" fmla="val 524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381000</xdr:colOff>
      <xdr:row>14</xdr:row>
      <xdr:rowOff>47625</xdr:rowOff>
    </xdr:from>
    <xdr:to>
      <xdr:col>14</xdr:col>
      <xdr:colOff>523875</xdr:colOff>
      <xdr:row>36</xdr:row>
      <xdr:rowOff>76200</xdr:rowOff>
    </xdr:to>
    <xdr:graphicFrame macro="">
      <xdr:nvGraphicFramePr>
        <xdr:cNvPr id="32" name="Chart 31">
          <a:extLst>
            <a:ext uri="{FF2B5EF4-FFF2-40B4-BE49-F238E27FC236}">
              <a16:creationId xmlns:a16="http://schemas.microsoft.com/office/drawing/2014/main" id="{BA09748C-2EA2-43BE-9116-A0BAA75A6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85724</xdr:colOff>
      <xdr:row>1</xdr:row>
      <xdr:rowOff>38100</xdr:rowOff>
    </xdr:from>
    <xdr:to>
      <xdr:col>24</xdr:col>
      <xdr:colOff>19050</xdr:colOff>
      <xdr:row>11</xdr:row>
      <xdr:rowOff>80010</xdr:rowOff>
    </xdr:to>
    <xdr:graphicFrame macro="">
      <xdr:nvGraphicFramePr>
        <xdr:cNvPr id="29" name="Chart 28">
          <a:extLst>
            <a:ext uri="{FF2B5EF4-FFF2-40B4-BE49-F238E27FC236}">
              <a16:creationId xmlns:a16="http://schemas.microsoft.com/office/drawing/2014/main" id="{2F043390-B119-4726-ADB1-94E870298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142875</xdr:colOff>
      <xdr:row>0</xdr:row>
      <xdr:rowOff>161925</xdr:rowOff>
    </xdr:from>
    <xdr:to>
      <xdr:col>19</xdr:col>
      <xdr:colOff>47625</xdr:colOff>
      <xdr:row>2</xdr:row>
      <xdr:rowOff>152400</xdr:rowOff>
    </xdr:to>
    <xdr:sp macro="" textlink="">
      <xdr:nvSpPr>
        <xdr:cNvPr id="38" name="TextBox 37">
          <a:extLst>
            <a:ext uri="{FF2B5EF4-FFF2-40B4-BE49-F238E27FC236}">
              <a16:creationId xmlns:a16="http://schemas.microsoft.com/office/drawing/2014/main" id="{1A2D3DE8-395E-D143-7A93-CAAF6B6BF42F}"/>
            </a:ext>
          </a:extLst>
        </xdr:cNvPr>
        <xdr:cNvSpPr txBox="1"/>
      </xdr:nvSpPr>
      <xdr:spPr>
        <a:xfrm>
          <a:off x="10144125" y="161925"/>
          <a:ext cx="2571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75000"/>
                  <a:lumOff val="25000"/>
                </a:schemeClr>
              </a:solidFill>
              <a:latin typeface="Segoe UI Variable Display" pitchFamily="2" charset="0"/>
              <a:ea typeface="+mn-ea"/>
              <a:cs typeface="+mn-cs"/>
            </a:rPr>
            <a:t>OUTLET</a:t>
          </a:r>
          <a:r>
            <a:rPr lang="en-IN" sz="1200" baseline="0"/>
            <a:t> </a:t>
          </a:r>
          <a:r>
            <a:rPr lang="en-IN" sz="1400" b="1">
              <a:solidFill>
                <a:schemeClr val="tx1">
                  <a:lumMod val="75000"/>
                  <a:lumOff val="25000"/>
                </a:schemeClr>
              </a:solidFill>
              <a:latin typeface="Segoe UI Variable Display" pitchFamily="2" charset="0"/>
              <a:ea typeface="+mn-ea"/>
              <a:cs typeface="+mn-cs"/>
            </a:rPr>
            <a:t>ESTABLISHMENT</a:t>
          </a:r>
        </a:p>
      </xdr:txBody>
    </xdr:sp>
    <xdr:clientData/>
  </xdr:twoCellAnchor>
  <xdr:twoCellAnchor>
    <xdr:from>
      <xdr:col>15</xdr:col>
      <xdr:colOff>104775</xdr:colOff>
      <xdr:row>12</xdr:row>
      <xdr:rowOff>47625</xdr:rowOff>
    </xdr:from>
    <xdr:to>
      <xdr:col>24</xdr:col>
      <xdr:colOff>133350</xdr:colOff>
      <xdr:row>12</xdr:row>
      <xdr:rowOff>47625</xdr:rowOff>
    </xdr:to>
    <xdr:cxnSp macro="">
      <xdr:nvCxnSpPr>
        <xdr:cNvPr id="42" name="Straight Connector 41">
          <a:extLst>
            <a:ext uri="{FF2B5EF4-FFF2-40B4-BE49-F238E27FC236}">
              <a16:creationId xmlns:a16="http://schemas.microsoft.com/office/drawing/2014/main" id="{FE40F958-C168-48A7-ECA1-0C8CF249D52C}"/>
            </a:ext>
          </a:extLst>
        </xdr:cNvPr>
        <xdr:cNvCxnSpPr/>
      </xdr:nvCxnSpPr>
      <xdr:spPr>
        <a:xfrm>
          <a:off x="10106025" y="2447925"/>
          <a:ext cx="6029325"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200025</xdr:colOff>
      <xdr:row>12</xdr:row>
      <xdr:rowOff>95251</xdr:rowOff>
    </xdr:from>
    <xdr:to>
      <xdr:col>17</xdr:col>
      <xdr:colOff>123825</xdr:colOff>
      <xdr:row>14</xdr:row>
      <xdr:rowOff>19051</xdr:rowOff>
    </xdr:to>
    <xdr:sp macro="" textlink="">
      <xdr:nvSpPr>
        <xdr:cNvPr id="46" name="TextBox 45">
          <a:extLst>
            <a:ext uri="{FF2B5EF4-FFF2-40B4-BE49-F238E27FC236}">
              <a16:creationId xmlns:a16="http://schemas.microsoft.com/office/drawing/2014/main" id="{8B919E76-9545-0B9A-BF4C-3012DDAAE86E}"/>
            </a:ext>
          </a:extLst>
        </xdr:cNvPr>
        <xdr:cNvSpPr txBox="1"/>
      </xdr:nvSpPr>
      <xdr:spPr>
        <a:xfrm>
          <a:off x="10201275" y="2495551"/>
          <a:ext cx="12573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85000"/>
                  <a:lumOff val="15000"/>
                </a:schemeClr>
              </a:solidFill>
            </a:rPr>
            <a:t>OUTLET</a:t>
          </a:r>
          <a:r>
            <a:rPr lang="en-IN" sz="1400" b="1" baseline="0">
              <a:solidFill>
                <a:schemeClr val="tx1">
                  <a:lumMod val="85000"/>
                  <a:lumOff val="15000"/>
                </a:schemeClr>
              </a:solidFill>
            </a:rPr>
            <a:t> SIZE</a:t>
          </a:r>
          <a:endParaRPr lang="en-IN" sz="1400" b="1">
            <a:solidFill>
              <a:schemeClr val="tx1">
                <a:lumMod val="85000"/>
                <a:lumOff val="15000"/>
              </a:schemeClr>
            </a:solidFill>
          </a:endParaRPr>
        </a:p>
      </xdr:txBody>
    </xdr:sp>
    <xdr:clientData/>
  </xdr:twoCellAnchor>
  <xdr:twoCellAnchor>
    <xdr:from>
      <xdr:col>15</xdr:col>
      <xdr:colOff>38101</xdr:colOff>
      <xdr:row>13</xdr:row>
      <xdr:rowOff>66674</xdr:rowOff>
    </xdr:from>
    <xdr:to>
      <xdr:col>19</xdr:col>
      <xdr:colOff>107101</xdr:colOff>
      <xdr:row>24</xdr:row>
      <xdr:rowOff>116399</xdr:rowOff>
    </xdr:to>
    <xdr:graphicFrame macro="">
      <xdr:nvGraphicFramePr>
        <xdr:cNvPr id="34" name="Chart 33">
          <a:extLst>
            <a:ext uri="{FF2B5EF4-FFF2-40B4-BE49-F238E27FC236}">
              <a16:creationId xmlns:a16="http://schemas.microsoft.com/office/drawing/2014/main" id="{615A3858-7D4F-431A-A3E1-379EC3309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123825</xdr:colOff>
      <xdr:row>24</xdr:row>
      <xdr:rowOff>76200</xdr:rowOff>
    </xdr:from>
    <xdr:to>
      <xdr:col>24</xdr:col>
      <xdr:colOff>152400</xdr:colOff>
      <xdr:row>24</xdr:row>
      <xdr:rowOff>76200</xdr:rowOff>
    </xdr:to>
    <xdr:cxnSp macro="">
      <xdr:nvCxnSpPr>
        <xdr:cNvPr id="35" name="Straight Connector 34">
          <a:extLst>
            <a:ext uri="{FF2B5EF4-FFF2-40B4-BE49-F238E27FC236}">
              <a16:creationId xmlns:a16="http://schemas.microsoft.com/office/drawing/2014/main" id="{E755660C-E247-4162-81AE-DE5E6E99DD2E}"/>
            </a:ext>
          </a:extLst>
        </xdr:cNvPr>
        <xdr:cNvCxnSpPr/>
      </xdr:nvCxnSpPr>
      <xdr:spPr>
        <a:xfrm>
          <a:off x="10125075" y="4876800"/>
          <a:ext cx="6029325"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438150</xdr:colOff>
      <xdr:row>12</xdr:row>
      <xdr:rowOff>28575</xdr:rowOff>
    </xdr:from>
    <xdr:to>
      <xdr:col>19</xdr:col>
      <xdr:colOff>466725</xdr:colOff>
      <xdr:row>24</xdr:row>
      <xdr:rowOff>66675</xdr:rowOff>
    </xdr:to>
    <xdr:cxnSp macro="">
      <xdr:nvCxnSpPr>
        <xdr:cNvPr id="36" name="Straight Connector 35">
          <a:extLst>
            <a:ext uri="{FF2B5EF4-FFF2-40B4-BE49-F238E27FC236}">
              <a16:creationId xmlns:a16="http://schemas.microsoft.com/office/drawing/2014/main" id="{BC8B3CBD-9D54-4F34-B6D2-047AA464005F}"/>
            </a:ext>
          </a:extLst>
        </xdr:cNvPr>
        <xdr:cNvCxnSpPr/>
      </xdr:nvCxnSpPr>
      <xdr:spPr>
        <a:xfrm>
          <a:off x="13106400" y="2428875"/>
          <a:ext cx="28575" cy="2438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523875</xdr:colOff>
      <xdr:row>13</xdr:row>
      <xdr:rowOff>85725</xdr:rowOff>
    </xdr:from>
    <xdr:to>
      <xdr:col>24</xdr:col>
      <xdr:colOff>76200</xdr:colOff>
      <xdr:row>24</xdr:row>
      <xdr:rowOff>9525</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11172D9E-93BB-4B2B-8F62-F8789A4824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264515" y="2661285"/>
              <a:ext cx="2905125" cy="2133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466725</xdr:colOff>
      <xdr:row>12</xdr:row>
      <xdr:rowOff>28575</xdr:rowOff>
    </xdr:from>
    <xdr:to>
      <xdr:col>22</xdr:col>
      <xdr:colOff>276225</xdr:colOff>
      <xdr:row>14</xdr:row>
      <xdr:rowOff>38100</xdr:rowOff>
    </xdr:to>
    <xdr:sp macro="" textlink="">
      <xdr:nvSpPr>
        <xdr:cNvPr id="48" name="TextBox 47">
          <a:extLst>
            <a:ext uri="{FF2B5EF4-FFF2-40B4-BE49-F238E27FC236}">
              <a16:creationId xmlns:a16="http://schemas.microsoft.com/office/drawing/2014/main" id="{F932F6B1-C59C-7D39-556B-E974CAE13156}"/>
            </a:ext>
          </a:extLst>
        </xdr:cNvPr>
        <xdr:cNvSpPr txBox="1"/>
      </xdr:nvSpPr>
      <xdr:spPr>
        <a:xfrm>
          <a:off x="13134975" y="2428875"/>
          <a:ext cx="18097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lumMod val="85000"/>
                  <a:lumOff val="15000"/>
                </a:schemeClr>
              </a:solidFill>
              <a:latin typeface="+mn-lt"/>
              <a:ea typeface="+mn-ea"/>
              <a:cs typeface="+mn-cs"/>
            </a:rPr>
            <a:t>Outlet</a:t>
          </a:r>
          <a:r>
            <a:rPr lang="en-IN" sz="1200" baseline="0"/>
            <a:t> </a:t>
          </a:r>
          <a:r>
            <a:rPr lang="en-IN" sz="1600" b="1">
              <a:solidFill>
                <a:schemeClr val="tx1">
                  <a:lumMod val="85000"/>
                  <a:lumOff val="15000"/>
                </a:schemeClr>
              </a:solidFill>
              <a:latin typeface="+mn-lt"/>
              <a:ea typeface="+mn-ea"/>
              <a:cs typeface="+mn-cs"/>
            </a:rPr>
            <a:t>Location</a:t>
          </a:r>
        </a:p>
      </xdr:txBody>
    </xdr:sp>
    <xdr:clientData/>
  </xdr:twoCellAnchor>
  <xdr:twoCellAnchor>
    <xdr:from>
      <xdr:col>15</xdr:col>
      <xdr:colOff>9526</xdr:colOff>
      <xdr:row>25</xdr:row>
      <xdr:rowOff>152399</xdr:rowOff>
    </xdr:from>
    <xdr:to>
      <xdr:col>19</xdr:col>
      <xdr:colOff>57150</xdr:colOff>
      <xdr:row>35</xdr:row>
      <xdr:rowOff>132149</xdr:rowOff>
    </xdr:to>
    <xdr:graphicFrame macro="">
      <xdr:nvGraphicFramePr>
        <xdr:cNvPr id="37" name="Chart 36">
          <a:extLst>
            <a:ext uri="{FF2B5EF4-FFF2-40B4-BE49-F238E27FC236}">
              <a16:creationId xmlns:a16="http://schemas.microsoft.com/office/drawing/2014/main" id="{3E9A4787-B190-4CC5-B80A-2C042FEA1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171451</xdr:colOff>
      <xdr:row>24</xdr:row>
      <xdr:rowOff>76200</xdr:rowOff>
    </xdr:from>
    <xdr:to>
      <xdr:col>17</xdr:col>
      <xdr:colOff>190501</xdr:colOff>
      <xdr:row>26</xdr:row>
      <xdr:rowOff>76200</xdr:rowOff>
    </xdr:to>
    <xdr:sp macro="" textlink="">
      <xdr:nvSpPr>
        <xdr:cNvPr id="41" name="TextBox 40">
          <a:extLst>
            <a:ext uri="{FF2B5EF4-FFF2-40B4-BE49-F238E27FC236}">
              <a16:creationId xmlns:a16="http://schemas.microsoft.com/office/drawing/2014/main" id="{AC53394F-7DF0-3645-3130-F61ABAB3850E}"/>
            </a:ext>
          </a:extLst>
        </xdr:cNvPr>
        <xdr:cNvSpPr txBox="1"/>
      </xdr:nvSpPr>
      <xdr:spPr>
        <a:xfrm>
          <a:off x="10172701" y="4905375"/>
          <a:ext cx="13525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Semibold" panose="020B0702040204020203" pitchFamily="34" charset="0"/>
              <a:cs typeface="Segoe UI Semibold" panose="020B0702040204020203" pitchFamily="34" charset="0"/>
            </a:rPr>
            <a:t>OUTLET TYPE</a:t>
          </a:r>
        </a:p>
      </xdr:txBody>
    </xdr:sp>
    <xdr:clientData/>
  </xdr:twoCellAnchor>
  <xdr:twoCellAnchor>
    <xdr:from>
      <xdr:col>18</xdr:col>
      <xdr:colOff>571500</xdr:colOff>
      <xdr:row>25</xdr:row>
      <xdr:rowOff>123825</xdr:rowOff>
    </xdr:from>
    <xdr:to>
      <xdr:col>21</xdr:col>
      <xdr:colOff>657225</xdr:colOff>
      <xdr:row>35</xdr:row>
      <xdr:rowOff>84523</xdr:rowOff>
    </xdr:to>
    <xdr:graphicFrame macro="">
      <xdr:nvGraphicFramePr>
        <xdr:cNvPr id="43" name="Chart 42">
          <a:extLst>
            <a:ext uri="{FF2B5EF4-FFF2-40B4-BE49-F238E27FC236}">
              <a16:creationId xmlns:a16="http://schemas.microsoft.com/office/drawing/2014/main" id="{7B2A717B-62FF-4AB4-B9D2-A3EFE4441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123825</xdr:colOff>
      <xdr:row>35</xdr:row>
      <xdr:rowOff>9525</xdr:rowOff>
    </xdr:from>
    <xdr:to>
      <xdr:col>18</xdr:col>
      <xdr:colOff>0</xdr:colOff>
      <xdr:row>36</xdr:row>
      <xdr:rowOff>180975</xdr:rowOff>
    </xdr:to>
    <xdr:sp macro="" textlink="">
      <xdr:nvSpPr>
        <xdr:cNvPr id="47" name="TextBox 46">
          <a:extLst>
            <a:ext uri="{FF2B5EF4-FFF2-40B4-BE49-F238E27FC236}">
              <a16:creationId xmlns:a16="http://schemas.microsoft.com/office/drawing/2014/main" id="{7E482E0D-C8F7-9601-2959-AEA965622A46}"/>
            </a:ext>
          </a:extLst>
        </xdr:cNvPr>
        <xdr:cNvSpPr txBox="1"/>
      </xdr:nvSpPr>
      <xdr:spPr>
        <a:xfrm>
          <a:off x="10791825" y="7038975"/>
          <a:ext cx="12096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TOTAL SALES</a:t>
          </a:r>
        </a:p>
      </xdr:txBody>
    </xdr:sp>
    <xdr:clientData/>
  </xdr:twoCellAnchor>
  <xdr:twoCellAnchor>
    <xdr:from>
      <xdr:col>19</xdr:col>
      <xdr:colOff>9525</xdr:colOff>
      <xdr:row>35</xdr:row>
      <xdr:rowOff>9525</xdr:rowOff>
    </xdr:from>
    <xdr:to>
      <xdr:col>20</xdr:col>
      <xdr:colOff>552450</xdr:colOff>
      <xdr:row>36</xdr:row>
      <xdr:rowOff>180975</xdr:rowOff>
    </xdr:to>
    <xdr:sp macro="" textlink="">
      <xdr:nvSpPr>
        <xdr:cNvPr id="49" name="TextBox 48">
          <a:extLst>
            <a:ext uri="{FF2B5EF4-FFF2-40B4-BE49-F238E27FC236}">
              <a16:creationId xmlns:a16="http://schemas.microsoft.com/office/drawing/2014/main" id="{6617E691-D09E-4135-A870-E8999B62E19D}"/>
            </a:ext>
          </a:extLst>
        </xdr:cNvPr>
        <xdr:cNvSpPr txBox="1"/>
      </xdr:nvSpPr>
      <xdr:spPr>
        <a:xfrm>
          <a:off x="12677775" y="7038975"/>
          <a:ext cx="12096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AVERAGE SALES</a:t>
          </a:r>
        </a:p>
      </xdr:txBody>
    </xdr:sp>
    <xdr:clientData/>
  </xdr:twoCellAnchor>
  <xdr:twoCellAnchor>
    <xdr:from>
      <xdr:col>21</xdr:col>
      <xdr:colOff>476250</xdr:colOff>
      <xdr:row>25</xdr:row>
      <xdr:rowOff>190500</xdr:rowOff>
    </xdr:from>
    <xdr:to>
      <xdr:col>24</xdr:col>
      <xdr:colOff>257175</xdr:colOff>
      <xdr:row>36</xdr:row>
      <xdr:rowOff>28574</xdr:rowOff>
    </xdr:to>
    <xdr:graphicFrame macro="">
      <xdr:nvGraphicFramePr>
        <xdr:cNvPr id="50" name="Chart 49">
          <a:extLst>
            <a:ext uri="{FF2B5EF4-FFF2-40B4-BE49-F238E27FC236}">
              <a16:creationId xmlns:a16="http://schemas.microsoft.com/office/drawing/2014/main" id="{6C01BF8E-9549-4C00-B00B-9D164C65B5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247650</xdr:colOff>
      <xdr:row>35</xdr:row>
      <xdr:rowOff>0</xdr:rowOff>
    </xdr:from>
    <xdr:to>
      <xdr:col>24</xdr:col>
      <xdr:colOff>295275</xdr:colOff>
      <xdr:row>36</xdr:row>
      <xdr:rowOff>171450</xdr:rowOff>
    </xdr:to>
    <xdr:sp macro="" textlink="">
      <xdr:nvSpPr>
        <xdr:cNvPr id="51" name="TextBox 50">
          <a:extLst>
            <a:ext uri="{FF2B5EF4-FFF2-40B4-BE49-F238E27FC236}">
              <a16:creationId xmlns:a16="http://schemas.microsoft.com/office/drawing/2014/main" id="{E31F5FB8-C6EB-427F-8ABF-3AC85E208B97}"/>
            </a:ext>
          </a:extLst>
        </xdr:cNvPr>
        <xdr:cNvSpPr txBox="1"/>
      </xdr:nvSpPr>
      <xdr:spPr>
        <a:xfrm>
          <a:off x="14916150" y="7029450"/>
          <a:ext cx="13811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2060"/>
              </a:solidFill>
            </a:rPr>
            <a:t>NO</a:t>
          </a:r>
          <a:r>
            <a:rPr lang="en-IN" sz="1100" b="1" baseline="0">
              <a:solidFill>
                <a:srgbClr val="002060"/>
              </a:solidFill>
            </a:rPr>
            <a:t> OF ITEMS</a:t>
          </a:r>
          <a:r>
            <a:rPr lang="en-IN" sz="1100" b="1">
              <a:solidFill>
                <a:srgbClr val="002060"/>
              </a:solidFill>
            </a:rPr>
            <a:t> </a:t>
          </a:r>
        </a:p>
      </xdr:txBody>
    </xdr:sp>
    <xdr:clientData/>
  </xdr:twoCellAnchor>
  <xdr:twoCellAnchor>
    <xdr:from>
      <xdr:col>3</xdr:col>
      <xdr:colOff>242887</xdr:colOff>
      <xdr:row>4</xdr:row>
      <xdr:rowOff>142875</xdr:rowOff>
    </xdr:from>
    <xdr:to>
      <xdr:col>5</xdr:col>
      <xdr:colOff>119062</xdr:colOff>
      <xdr:row>6</xdr:row>
      <xdr:rowOff>114300</xdr:rowOff>
    </xdr:to>
    <xdr:sp macro="" textlink="">
      <xdr:nvSpPr>
        <xdr:cNvPr id="52" name="TextBox 51">
          <a:extLst>
            <a:ext uri="{FF2B5EF4-FFF2-40B4-BE49-F238E27FC236}">
              <a16:creationId xmlns:a16="http://schemas.microsoft.com/office/drawing/2014/main" id="{1488A8F9-67FC-4AA5-88EE-7A33121A9C97}"/>
            </a:ext>
          </a:extLst>
        </xdr:cNvPr>
        <xdr:cNvSpPr txBox="1"/>
      </xdr:nvSpPr>
      <xdr:spPr>
        <a:xfrm>
          <a:off x="2243137" y="942975"/>
          <a:ext cx="12096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FILTER</a:t>
          </a:r>
          <a:r>
            <a:rPr lang="en-IN" sz="1400" b="1" baseline="0">
              <a:solidFill>
                <a:srgbClr val="002060"/>
              </a:solidFill>
            </a:rPr>
            <a:t> PANEL</a:t>
          </a:r>
          <a:endParaRPr lang="en-IN" sz="1400" b="1">
            <a:solidFill>
              <a:srgbClr val="002060"/>
            </a:solidFill>
          </a:endParaRPr>
        </a:p>
      </xdr:txBody>
    </xdr:sp>
    <xdr:clientData/>
  </xdr:twoCellAnchor>
  <xdr:twoCellAnchor editAs="oneCell">
    <xdr:from>
      <xdr:col>2</xdr:col>
      <xdr:colOff>485774</xdr:colOff>
      <xdr:row>6</xdr:row>
      <xdr:rowOff>47625</xdr:rowOff>
    </xdr:from>
    <xdr:to>
      <xdr:col>5</xdr:col>
      <xdr:colOff>628649</xdr:colOff>
      <xdr:row>13</xdr:row>
      <xdr:rowOff>72389</xdr:rowOff>
    </xdr:to>
    <mc:AlternateContent xmlns:mc="http://schemas.openxmlformats.org/markup-compatibility/2006" xmlns:a14="http://schemas.microsoft.com/office/drawing/2010/main">
      <mc:Choice Requires="a14">
        <xdr:graphicFrame macro="">
          <xdr:nvGraphicFramePr>
            <xdr:cNvPr id="53" name="Outlet Size 1">
              <a:extLst>
                <a:ext uri="{FF2B5EF4-FFF2-40B4-BE49-F238E27FC236}">
                  <a16:creationId xmlns:a16="http://schemas.microsoft.com/office/drawing/2014/main" id="{CEB690E2-6E39-4D1A-BBCC-C389FF54D2F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19274" y="1247775"/>
              <a:ext cx="2143125"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485774</xdr:colOff>
      <xdr:row>13</xdr:row>
      <xdr:rowOff>66675</xdr:rowOff>
    </xdr:from>
    <xdr:to>
      <xdr:col>5</xdr:col>
      <xdr:colOff>628649</xdr:colOff>
      <xdr:row>20</xdr:row>
      <xdr:rowOff>76200</xdr:rowOff>
    </xdr:to>
    <mc:AlternateContent xmlns:mc="http://schemas.openxmlformats.org/markup-compatibility/2006" xmlns:a14="http://schemas.microsoft.com/office/drawing/2010/main">
      <mc:Choice Requires="a14">
        <xdr:graphicFrame macro="">
          <xdr:nvGraphicFramePr>
            <xdr:cNvPr id="54" name="Outlet Location Type 1">
              <a:extLst>
                <a:ext uri="{FF2B5EF4-FFF2-40B4-BE49-F238E27FC236}">
                  <a16:creationId xmlns:a16="http://schemas.microsoft.com/office/drawing/2014/main" id="{3546503B-9E65-4BBB-A592-9E6EED24701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819274" y="2667000"/>
              <a:ext cx="2143125"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500061</xdr:colOff>
      <xdr:row>20</xdr:row>
      <xdr:rowOff>19050</xdr:rowOff>
    </xdr:from>
    <xdr:to>
      <xdr:col>5</xdr:col>
      <xdr:colOff>523874</xdr:colOff>
      <xdr:row>33</xdr:row>
      <xdr:rowOff>114300</xdr:rowOff>
    </xdr:to>
    <mc:AlternateContent xmlns:mc="http://schemas.openxmlformats.org/markup-compatibility/2006" xmlns:a14="http://schemas.microsoft.com/office/drawing/2010/main">
      <mc:Choice Requires="a14">
        <xdr:graphicFrame macro="">
          <xdr:nvGraphicFramePr>
            <xdr:cNvPr id="55" name="Item Type 1">
              <a:extLst>
                <a:ext uri="{FF2B5EF4-FFF2-40B4-BE49-F238E27FC236}">
                  <a16:creationId xmlns:a16="http://schemas.microsoft.com/office/drawing/2014/main" id="{AA0212C6-CCC0-4374-9C2F-334D7CA19B3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33561" y="4048125"/>
              <a:ext cx="2024063"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480382175927" createdVersion="8" refreshedVersion="8" minRefreshableVersion="3" recordCount="8523" xr:uid="{DB1B4F03-9922-4139-BB62-7E3DC3D99CA5}">
  <cacheSource type="worksheet">
    <worksheetSource name="Table1"/>
  </cacheSource>
  <cacheFields count="13">
    <cacheField name="Item Fat Content" numFmtId="0">
      <sharedItems count="2">
        <s v="Regular"/>
        <s v="Low Fat"/>
      </sharedItems>
    </cacheField>
    <cacheField name="S.n."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982671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777892-554A-4AA0-A90E-5A444445D1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Average of Rating" fld="12" subtotal="average" baseField="0" baseItem="3"/>
    <dataField name="Number of items" fld="1" subtotal="count" baseField="0" baseItem="3"/>
  </dataFields>
  <formats count="10">
    <format dxfId="9">
      <pivotArea outline="0" collapsedLevelsAreSubtotals="1" fieldPosition="0">
        <references count="1">
          <reference field="4294967294" count="1" selected="0">
            <x v="2"/>
          </reference>
        </references>
      </pivotArea>
    </format>
    <format dxfId="8">
      <pivotArea type="all" dataOnly="0" outline="0" fieldPosition="0"/>
    </format>
    <format dxfId="7">
      <pivotArea outline="0" collapsedLevelsAreSubtotals="1" fieldPosition="0"/>
    </format>
    <format dxfId="6">
      <pivotArea dataOnly="0" labelOnly="1" outline="0" fieldPosition="0">
        <references count="1">
          <reference field="4294967294" count="4">
            <x v="0"/>
            <x v="1"/>
            <x v="2"/>
            <x v="3"/>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D7065-7892-4930-9D95-2CE30074664A}"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100:B104"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numFmtId="1"/>
  </dataFields>
  <formats count="17">
    <format dxfId="26">
      <pivotArea type="all" dataOnly="0"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type="all" dataOnly="0" outline="0" fieldPosition="0"/>
    </format>
    <format dxfId="21">
      <pivotArea outline="0" collapsedLevelsAreSubtotals="1"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6" type="button" dataOnly="0" labelOnly="1" outline="0"/>
    </format>
    <format dxfId="16">
      <pivotArea collapsedLevelsAreSubtotals="1" fieldPosition="0">
        <references count="1">
          <reference field="8" count="1">
            <x v="0"/>
          </reference>
        </references>
      </pivotArea>
    </format>
    <format dxfId="15">
      <pivotArea outline="0" collapsedLevelsAreSubtotals="1" fieldPosition="0"/>
    </format>
    <format dxfId="14">
      <pivotArea type="all" dataOnly="0" outline="0" fieldPosition="0"/>
    </format>
    <format dxfId="13">
      <pivotArea outline="0" collapsedLevelsAreSubtotals="1" fieldPosition="0"/>
    </format>
    <format dxfId="12">
      <pivotArea field="8" type="button" dataOnly="0" labelOnly="1" outline="0" axis="axisRow" fieldPosition="0"/>
    </format>
    <format dxfId="11">
      <pivotArea dataOnly="0" labelOnly="1" fieldPosition="0">
        <references count="1">
          <reference field="8" count="0"/>
        </references>
      </pivotArea>
    </format>
    <format dxfId="1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8E9570-60D0-4B3C-8AA5-1A2FC6DBACB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A93:B97"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7">
    <format dxfId="43">
      <pivotArea type="all" dataOnly="0" outline="0" fieldPosition="0"/>
    </format>
    <format dxfId="42">
      <pivotArea outline="0" collapsedLevelsAreSubtotals="1" fieldPosition="0"/>
    </format>
    <format dxfId="41">
      <pivotArea type="all" dataOnly="0" outline="0" fieldPosition="0"/>
    </format>
    <format dxfId="40">
      <pivotArea outline="0" collapsedLevelsAreSubtotals="1" fieldPosition="0"/>
    </format>
    <format dxfId="39">
      <pivotArea type="all" dataOnly="0" outline="0" fieldPosition="0"/>
    </format>
    <format dxfId="38">
      <pivotArea outline="0" collapsedLevelsAreSubtotals="1"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field="6" type="button" dataOnly="0" labelOnly="1" outline="0"/>
    </format>
    <format dxfId="33">
      <pivotArea collapsedLevelsAreSubtotals="1" fieldPosition="0">
        <references count="1">
          <reference field="8" count="1">
            <x v="0"/>
          </reference>
        </references>
      </pivotArea>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8" type="button" dataOnly="0" labelOnly="1" outline="0" axis="axisRow" fieldPosition="0"/>
    </format>
    <format dxfId="28">
      <pivotArea dataOnly="0" labelOnly="1" fieldPosition="0">
        <references count="1">
          <reference field="8" count="0"/>
        </references>
      </pivotArea>
    </format>
    <format dxfId="2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8D2DE-BC43-4121-96E6-A9FFFC8BD2A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3">
    <format dxfId="56">
      <pivotArea type="all" dataOnly="0"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collapsedLevelsAreSubtotals="1" fieldPosition="0">
        <references count="1">
          <reference field="0" count="1">
            <x v="1"/>
          </reference>
        </references>
      </pivotArea>
    </format>
    <format dxfId="49">
      <pivotArea outline="0" collapsedLevelsAreSubtotals="1" fieldPosition="0"/>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2C081-53B5-4286-8C07-81CFBCAE4C4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86:B9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2">
    <format dxfId="68">
      <pivotArea type="all" dataOnly="0"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8" type="button" dataOnly="0" labelOnly="1" outline="0" axis="axisRow" fieldPosition="0"/>
    </format>
    <format dxfId="58">
      <pivotArea dataOnly="0" labelOnly="1" fieldPosition="0">
        <references count="1">
          <reference field="8" count="0"/>
        </references>
      </pivotArea>
    </format>
    <format dxfId="5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661D14-9A9D-4E10-90C3-6C39CB830B8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53:B62"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80">
      <pivotArea type="all" dataOnly="0" outline="0"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type="all" dataOnly="0" outline="0" fieldPosition="0"/>
    </format>
    <format dxfId="75">
      <pivotArea outline="0" collapsedLevelsAreSubtotals="1" fieldPosition="0"/>
    </format>
    <format dxfId="74">
      <pivotArea outline="0" collapsedLevelsAreSubtotals="1" fieldPosition="0"/>
    </format>
    <format dxfId="73">
      <pivotArea type="all" dataOnly="0" outline="0" fieldPosition="0"/>
    </format>
    <format dxfId="72">
      <pivotArea outline="0" collapsedLevelsAreSubtotals="1" fieldPosition="0"/>
    </format>
    <format dxfId="71">
      <pivotArea field="4" type="button" dataOnly="0" labelOnly="1" outline="0" axis="axisRow" fieldPosition="0"/>
    </format>
    <format dxfId="70">
      <pivotArea dataOnly="0" labelOnly="1" fieldPosition="0">
        <references count="1">
          <reference field="4" count="0"/>
        </references>
      </pivotArea>
    </format>
    <format dxfId="6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1"/>
          </reference>
        </references>
      </pivotArea>
    </chartFormat>
    <chartFormat chart="17" format="4">
      <pivotArea type="data" outline="0" fieldPosition="0">
        <references count="2">
          <reference field="4294967294" count="1" selected="0">
            <x v="0"/>
          </reference>
          <reference field="4" count="1" selected="0">
            <x v="0"/>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6065E3-7537-4EF8-8843-045327B282E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76:B79"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92">
      <pivotArea type="all" dataOnly="0" outline="0" fieldPosition="0"/>
    </format>
    <format dxfId="91">
      <pivotArea outline="0" collapsedLevelsAreSubtotals="1" fieldPosition="0"/>
    </format>
    <format dxfId="90">
      <pivotArea type="all" dataOnly="0" outline="0" fieldPosition="0"/>
    </format>
    <format dxfId="89">
      <pivotArea outline="0" collapsedLevelsAreSubtotals="1" fieldPosition="0"/>
    </format>
    <format dxfId="88">
      <pivotArea type="all" dataOnly="0" outline="0" fieldPosition="0"/>
    </format>
    <format dxfId="87">
      <pivotArea outline="0" collapsedLevelsAreSubtotals="1" fieldPosition="0"/>
    </format>
    <format dxfId="86">
      <pivotArea outline="0" collapsedLevelsAreSubtotals="1" fieldPosition="0"/>
    </format>
    <format dxfId="85">
      <pivotArea type="all" dataOnly="0" outline="0" fieldPosition="0"/>
    </format>
    <format dxfId="84">
      <pivotArea outline="0" collapsedLevelsAreSubtotals="1" fieldPosition="0"/>
    </format>
    <format dxfId="83">
      <pivotArea field="6" type="button" dataOnly="0" labelOnly="1" outline="0" axis="axisRow" fieldPosition="0"/>
    </format>
    <format dxfId="82">
      <pivotArea dataOnly="0" labelOnly="1" fieldPosition="0">
        <references count="1">
          <reference field="6" count="0"/>
        </references>
      </pivotArea>
    </format>
    <format dxfId="8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5A250A-F31D-4312-A29D-9A24C09AA82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2:B48"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6">
    <format dxfId="108">
      <pivotArea type="all" dataOnly="0"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outline="0" collapsedLevelsAreSubtotals="1" fieldPosition="0"/>
    </format>
    <format dxfId="101">
      <pivotArea type="all" dataOnly="0" outline="0" fieldPosition="0"/>
    </format>
    <format dxfId="100">
      <pivotArea outline="0" collapsedLevelsAreSubtotals="1" fieldPosition="0"/>
    </format>
    <format dxfId="99">
      <pivotArea field="0" type="button" dataOnly="0" labelOnly="1" outline="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3" type="button" dataOnly="0" labelOnly="1" outline="0" axis="axisRow" fieldPosition="0"/>
    </format>
    <format dxfId="94">
      <pivotArea dataOnly="0" labelOnly="1" fieldPosition="0">
        <references count="1">
          <reference field="3" count="0"/>
        </references>
      </pivotArea>
    </format>
    <format dxfId="9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AE11CA-12FB-47B4-8750-D658C5AB217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68:B71"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120">
      <pivotArea type="all" dataOnly="0" outline="0" fieldPosition="0"/>
    </format>
    <format dxfId="119">
      <pivotArea outline="0" collapsedLevelsAreSubtotals="1" fieldPosition="0"/>
    </format>
    <format dxfId="118">
      <pivotArea type="all" dataOnly="0" outline="0" fieldPosition="0"/>
    </format>
    <format dxfId="117">
      <pivotArea outline="0" collapsedLevelsAreSubtotals="1" fieldPosition="0"/>
    </format>
    <format dxfId="116">
      <pivotArea type="all" dataOnly="0" outline="0" fieldPosition="0"/>
    </format>
    <format dxfId="115">
      <pivotArea outline="0" collapsedLevelsAreSubtotals="1" fieldPosition="0"/>
    </format>
    <format dxfId="114">
      <pivotArea outline="0" collapsedLevelsAreSubtotals="1" fieldPosition="0"/>
    </format>
    <format dxfId="113">
      <pivotArea type="all" dataOnly="0" outline="0" fieldPosition="0"/>
    </format>
    <format dxfId="112">
      <pivotArea outline="0" collapsedLevelsAreSubtotals="1" fieldPosition="0"/>
    </format>
    <format dxfId="111">
      <pivotArea field="7" type="button" dataOnly="0" labelOnly="1" outline="0" axis="axisRow" fieldPosition="0"/>
    </format>
    <format dxfId="110">
      <pivotArea dataOnly="0" labelOnly="1" fieldPosition="0">
        <references count="1">
          <reference field="7" count="0"/>
        </references>
      </pivotArea>
    </format>
    <format dxfId="109">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 chart="19" format="4">
      <pivotArea type="data" outline="0" fieldPosition="0">
        <references count="1">
          <reference field="4294967294" count="1" selected="0">
            <x v="0"/>
          </reference>
        </references>
      </pivotArea>
    </chartFormat>
    <chartFormat chart="2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B2B9A8-6FC3-4A30-9F84-5CBC900AE0E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4:C28"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133">
      <pivotArea type="all" dataOnly="0" outline="0" fieldPosition="0"/>
    </format>
    <format dxfId="132">
      <pivotArea outline="0" collapsedLevelsAreSubtotals="1" fieldPosition="0"/>
    </format>
    <format dxfId="131">
      <pivotArea type="all" dataOnly="0" outline="0"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collapsedLevelsAreSubtotals="1" fieldPosition="0">
        <references count="1">
          <reference field="0" count="1">
            <x v="1"/>
          </reference>
        </references>
      </pivotArea>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field="0" type="button" dataOnly="0" labelOnly="1" outline="0" axis="axisCol" fieldPosition="0"/>
    </format>
    <format dxfId="122">
      <pivotArea dataOnly="0" labelOnly="1" fieldPosition="0">
        <references count="1">
          <reference field="0" count="0"/>
        </references>
      </pivotArea>
    </format>
    <format dxfId="12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B9063F6-8ED2-4315-A956-D63018E36323}"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98267176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F874F8F-062A-4704-87EB-27EA082A4F62}"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98267176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C5EEA90-038A-4A45-9211-11BA59E491F6}"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98267176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72DF4E3-946E-452A-963B-08793E2ECD56}" cache="Slicer_Outlet_Size" caption="Outlet Size" rowHeight="260350"/>
  <slicer name="Outlet Location Type" xr10:uid="{94CC2B18-236F-42E1-88C9-4EDA8C73C2F1}" cache="Slicer_Outlet_Location_Type" caption="Outlet Location Type" rowHeight="260350"/>
  <slicer name="Item Type" xr10:uid="{63487341-6E42-4D64-8975-8DE7FB5881AC}"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2695C3A-1484-4956-BCB8-5E4CD71690B4}" cache="Slicer_Outlet_Size" caption="Outlet Size" style="Blinkit Analysis" rowHeight="260350"/>
  <slicer name="Outlet Location Type 1" xr10:uid="{BF92F672-9061-41AE-A8CC-2A44C229A74C}" cache="Slicer_Outlet_Location_Type" caption="Outlet Location " style="Blinkit Analysis" rowHeight="260350"/>
  <slicer name="Item Type 1" xr10:uid="{B7CAFE0A-822E-450D-96AC-6FB33833466F}"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3775EFA0-D89F-4D60-87E9-963543BC7234}" name="S.n."/>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4B89-3285-4EF1-A63C-B945389F8D33}">
  <sheetPr codeName="Sheet1"/>
  <dimension ref="A1:I105"/>
  <sheetViews>
    <sheetView workbookViewId="0">
      <selection activeCell="K20" sqref="K20"/>
    </sheetView>
  </sheetViews>
  <sheetFormatPr defaultRowHeight="15.6" x14ac:dyDescent="0.3"/>
  <cols>
    <col min="1" max="1" width="17.296875" bestFit="1" customWidth="1"/>
    <col min="2" max="2" width="14.59765625" bestFit="1" customWidth="1"/>
    <col min="3" max="3" width="7.3984375" bestFit="1" customWidth="1"/>
    <col min="4" max="4" width="15.09765625" bestFit="1" customWidth="1"/>
    <col min="5" max="5" width="10.3984375" bestFit="1" customWidth="1"/>
  </cols>
  <sheetData>
    <row r="1" spans="1:5" ht="16.2" thickBot="1" x14ac:dyDescent="0.35"/>
    <row r="2" spans="1:5" ht="21.6" thickBot="1" x14ac:dyDescent="0.45">
      <c r="A2" s="58" t="s">
        <v>1619</v>
      </c>
      <c r="B2" s="59"/>
      <c r="C2" s="59"/>
      <c r="D2" s="59"/>
      <c r="E2" s="60"/>
    </row>
    <row r="3" spans="1:5" ht="16.2" thickBot="1" x14ac:dyDescent="0.35">
      <c r="A3" s="7" t="s">
        <v>1610</v>
      </c>
      <c r="B3" s="8" t="s">
        <v>1611</v>
      </c>
      <c r="C3" s="8" t="s">
        <v>1613</v>
      </c>
      <c r="D3" s="9" t="s">
        <v>1614</v>
      </c>
      <c r="E3" s="2"/>
    </row>
    <row r="4" spans="1:5" ht="16.2" thickBot="1" x14ac:dyDescent="0.35">
      <c r="A4" s="7">
        <v>1201681.4928000034</v>
      </c>
      <c r="B4" s="8">
        <v>140.99278338613203</v>
      </c>
      <c r="C4" s="8">
        <v>3.9658570925731196</v>
      </c>
      <c r="D4" s="9">
        <v>8523</v>
      </c>
      <c r="E4" s="2"/>
    </row>
    <row r="5" spans="1:5" x14ac:dyDescent="0.3">
      <c r="A5" s="1"/>
      <c r="E5" s="2"/>
    </row>
    <row r="6" spans="1:5" x14ac:dyDescent="0.3">
      <c r="A6" s="1"/>
      <c r="E6" s="2"/>
    </row>
    <row r="7" spans="1:5" x14ac:dyDescent="0.3">
      <c r="A7" s="1" t="s">
        <v>1615</v>
      </c>
      <c r="B7" t="s">
        <v>1616</v>
      </c>
      <c r="C7" t="s">
        <v>1618</v>
      </c>
      <c r="D7" t="s">
        <v>1617</v>
      </c>
      <c r="E7" s="2"/>
    </row>
    <row r="8" spans="1:5" ht="16.2" thickBot="1" x14ac:dyDescent="0.35">
      <c r="A8" s="10">
        <f>GETPIVOTDATA("Sum of Sales",$A$3)</f>
        <v>1201681.4928000034</v>
      </c>
      <c r="B8" s="3">
        <f>GETPIVOTDATA("Average  Sales",$A$3)</f>
        <v>140.99278338613203</v>
      </c>
      <c r="C8" s="4">
        <f>GETPIVOTDATA("Average of Rating",$A$3)</f>
        <v>3.9658570925731196</v>
      </c>
      <c r="D8" s="5">
        <f>GETPIVOTDATA("Number of items",$A$3)</f>
        <v>8523</v>
      </c>
      <c r="E8" s="6"/>
    </row>
    <row r="9" spans="1:5" x14ac:dyDescent="0.3">
      <c r="A9" s="11"/>
      <c r="B9" s="12"/>
      <c r="C9" s="13"/>
    </row>
    <row r="10" spans="1:5" x14ac:dyDescent="0.3">
      <c r="A10" s="11"/>
      <c r="B10" s="12"/>
      <c r="C10" s="13"/>
    </row>
    <row r="12" spans="1:5" ht="21" x14ac:dyDescent="0.4">
      <c r="A12" s="56" t="s">
        <v>1621</v>
      </c>
      <c r="B12" s="61"/>
      <c r="C12" s="61"/>
      <c r="D12" s="62"/>
    </row>
    <row r="13" spans="1:5" x14ac:dyDescent="0.3">
      <c r="A13" s="14" t="s">
        <v>1620</v>
      </c>
      <c r="B13" s="31" t="s">
        <v>1610</v>
      </c>
      <c r="D13" s="16"/>
    </row>
    <row r="14" spans="1:5" x14ac:dyDescent="0.3">
      <c r="A14" s="35" t="s">
        <v>17</v>
      </c>
      <c r="B14" s="32">
        <v>776319.68840000057</v>
      </c>
      <c r="D14" s="16"/>
    </row>
    <row r="15" spans="1:5" x14ac:dyDescent="0.3">
      <c r="A15" s="36" t="s">
        <v>10</v>
      </c>
      <c r="B15" s="34">
        <v>425361.8043999995</v>
      </c>
      <c r="D15" s="16"/>
    </row>
    <row r="16" spans="1:5" x14ac:dyDescent="0.3">
      <c r="A16" s="18"/>
      <c r="D16" s="16"/>
    </row>
    <row r="17" spans="1:7" x14ac:dyDescent="0.3">
      <c r="A17" s="18"/>
      <c r="D17" s="16"/>
    </row>
    <row r="18" spans="1:7" x14ac:dyDescent="0.3">
      <c r="A18" s="18"/>
      <c r="D18" s="16"/>
    </row>
    <row r="19" spans="1:7" x14ac:dyDescent="0.3">
      <c r="A19" s="19"/>
      <c r="B19" s="20"/>
      <c r="C19" s="20"/>
      <c r="D19" s="21"/>
    </row>
    <row r="23" spans="1:7" ht="21" x14ac:dyDescent="0.4">
      <c r="A23" s="63" t="s">
        <v>1625</v>
      </c>
      <c r="B23" s="61"/>
      <c r="C23" s="61"/>
      <c r="D23" s="62"/>
    </row>
    <row r="24" spans="1:7" x14ac:dyDescent="0.3">
      <c r="A24" s="22" t="s">
        <v>1610</v>
      </c>
      <c r="B24" s="14" t="s">
        <v>1623</v>
      </c>
      <c r="C24" s="23"/>
    </row>
    <row r="25" spans="1:7" x14ac:dyDescent="0.3">
      <c r="A25" s="15" t="s">
        <v>1620</v>
      </c>
      <c r="B25" s="29" t="s">
        <v>17</v>
      </c>
      <c r="C25" s="30" t="s">
        <v>10</v>
      </c>
    </row>
    <row r="26" spans="1:7" x14ac:dyDescent="0.3">
      <c r="A26" s="17" t="s">
        <v>14</v>
      </c>
      <c r="B26" s="26">
        <v>215047.9126000001</v>
      </c>
      <c r="C26" s="27">
        <v>121349.89940000001</v>
      </c>
    </row>
    <row r="27" spans="1:7" x14ac:dyDescent="0.3">
      <c r="A27" s="17" t="s">
        <v>34</v>
      </c>
      <c r="B27" s="41">
        <v>254464.77940000014</v>
      </c>
      <c r="C27" s="40">
        <v>138685.86819999994</v>
      </c>
    </row>
    <row r="28" spans="1:7" x14ac:dyDescent="0.3">
      <c r="A28" s="24" t="s">
        <v>21</v>
      </c>
      <c r="B28" s="28">
        <v>306806.99640000012</v>
      </c>
      <c r="C28" s="25">
        <v>165326.0368</v>
      </c>
    </row>
    <row r="31" spans="1:7" ht="21" x14ac:dyDescent="0.4">
      <c r="A31" s="64" t="s">
        <v>1622</v>
      </c>
      <c r="B31" s="65"/>
      <c r="C31" s="65"/>
      <c r="D31" s="65"/>
      <c r="E31" s="37"/>
      <c r="F31" s="37"/>
      <c r="G31" s="38"/>
    </row>
    <row r="32" spans="1:7" x14ac:dyDescent="0.3">
      <c r="A32" s="14" t="s">
        <v>1620</v>
      </c>
      <c r="B32" s="31" t="s">
        <v>1610</v>
      </c>
      <c r="G32" s="16"/>
    </row>
    <row r="33" spans="1:7" x14ac:dyDescent="0.3">
      <c r="A33" s="39" t="s">
        <v>153</v>
      </c>
      <c r="B33" s="32">
        <v>9077.869999999999</v>
      </c>
      <c r="G33" s="16"/>
    </row>
    <row r="34" spans="1:7" x14ac:dyDescent="0.3">
      <c r="A34" s="39" t="s">
        <v>74</v>
      </c>
      <c r="B34" s="33">
        <v>15596.696600000001</v>
      </c>
      <c r="G34" s="16"/>
    </row>
    <row r="35" spans="1:7" x14ac:dyDescent="0.3">
      <c r="A35" s="39" t="s">
        <v>159</v>
      </c>
      <c r="B35" s="33">
        <v>21880.027399999992</v>
      </c>
      <c r="G35" s="16"/>
    </row>
    <row r="36" spans="1:7" x14ac:dyDescent="0.3">
      <c r="A36" s="39" t="s">
        <v>64</v>
      </c>
      <c r="B36" s="33">
        <v>22451.891599999999</v>
      </c>
      <c r="G36" s="16"/>
    </row>
    <row r="37" spans="1:7" x14ac:dyDescent="0.3">
      <c r="A37" s="39" t="s">
        <v>61</v>
      </c>
      <c r="B37" s="33">
        <v>29334.680599999996</v>
      </c>
      <c r="G37" s="16"/>
    </row>
    <row r="38" spans="1:7" x14ac:dyDescent="0.3">
      <c r="A38" s="39" t="s">
        <v>57</v>
      </c>
      <c r="B38" s="33">
        <v>35379.119800000015</v>
      </c>
      <c r="G38" s="16"/>
    </row>
    <row r="39" spans="1:7" x14ac:dyDescent="0.3">
      <c r="A39" s="39" t="s">
        <v>32</v>
      </c>
      <c r="B39" s="33">
        <v>58514.166999999987</v>
      </c>
      <c r="G39" s="16"/>
    </row>
    <row r="40" spans="1:7" x14ac:dyDescent="0.3">
      <c r="A40" s="39" t="s">
        <v>54</v>
      </c>
      <c r="B40" s="33">
        <v>59449.863799999992</v>
      </c>
      <c r="G40" s="16"/>
    </row>
    <row r="41" spans="1:7" x14ac:dyDescent="0.3">
      <c r="A41" s="39" t="s">
        <v>19</v>
      </c>
      <c r="B41" s="33">
        <v>68025.838800000012</v>
      </c>
      <c r="G41" s="16"/>
    </row>
    <row r="42" spans="1:7" x14ac:dyDescent="0.3">
      <c r="A42" s="39" t="s">
        <v>95</v>
      </c>
      <c r="B42" s="33">
        <v>81894.736400000009</v>
      </c>
      <c r="G42" s="16"/>
    </row>
    <row r="43" spans="1:7" x14ac:dyDescent="0.3">
      <c r="A43" s="39" t="s">
        <v>28</v>
      </c>
      <c r="B43" s="33">
        <v>90706.728999999992</v>
      </c>
      <c r="G43" s="16"/>
    </row>
    <row r="44" spans="1:7" x14ac:dyDescent="0.3">
      <c r="A44" s="39" t="s">
        <v>67</v>
      </c>
      <c r="B44" s="33">
        <v>101276.46159999995</v>
      </c>
      <c r="G44" s="16"/>
    </row>
    <row r="45" spans="1:7" x14ac:dyDescent="0.3">
      <c r="A45" s="39" t="s">
        <v>24</v>
      </c>
      <c r="B45" s="33">
        <v>118558.88140000009</v>
      </c>
      <c r="G45" s="16"/>
    </row>
    <row r="46" spans="1:7" x14ac:dyDescent="0.3">
      <c r="A46" s="39" t="s">
        <v>42</v>
      </c>
      <c r="B46" s="33">
        <v>135976.52539999998</v>
      </c>
      <c r="G46" s="16"/>
    </row>
    <row r="47" spans="1:7" x14ac:dyDescent="0.3">
      <c r="A47" s="39" t="s">
        <v>48</v>
      </c>
      <c r="B47" s="33">
        <v>175433.92240000021</v>
      </c>
      <c r="G47" s="16"/>
    </row>
    <row r="48" spans="1:7" x14ac:dyDescent="0.3">
      <c r="A48" s="36" t="s">
        <v>12</v>
      </c>
      <c r="B48" s="34">
        <v>178124.08099999995</v>
      </c>
      <c r="C48" s="20"/>
      <c r="D48" s="20"/>
      <c r="E48" s="20"/>
      <c r="F48" s="20"/>
      <c r="G48" s="21"/>
    </row>
    <row r="51" spans="1:7" ht="21" x14ac:dyDescent="0.4">
      <c r="A51" s="56" t="s">
        <v>1624</v>
      </c>
      <c r="B51" s="57"/>
      <c r="C51" s="57"/>
      <c r="D51" s="57"/>
      <c r="E51" s="57"/>
      <c r="F51" s="57"/>
      <c r="G51" s="66"/>
    </row>
    <row r="52" spans="1:7" x14ac:dyDescent="0.3">
      <c r="A52" s="18"/>
      <c r="G52" s="16"/>
    </row>
    <row r="53" spans="1:7" x14ac:dyDescent="0.3">
      <c r="A53" s="14" t="s">
        <v>1620</v>
      </c>
      <c r="B53" s="31" t="s">
        <v>1610</v>
      </c>
      <c r="G53" s="16"/>
    </row>
    <row r="54" spans="1:7" x14ac:dyDescent="0.3">
      <c r="A54" s="35">
        <v>2011</v>
      </c>
      <c r="B54" s="32">
        <v>78131.566599999976</v>
      </c>
      <c r="G54" s="16"/>
    </row>
    <row r="55" spans="1:7" x14ac:dyDescent="0.3">
      <c r="A55" s="39">
        <v>2012</v>
      </c>
      <c r="B55" s="33">
        <v>130476.85979999998</v>
      </c>
      <c r="G55" s="16"/>
    </row>
    <row r="56" spans="1:7" x14ac:dyDescent="0.3">
      <c r="A56" s="39">
        <v>2014</v>
      </c>
      <c r="B56" s="33">
        <v>131809.01560000007</v>
      </c>
      <c r="G56" s="16"/>
    </row>
    <row r="57" spans="1:7" x14ac:dyDescent="0.3">
      <c r="A57" s="39">
        <v>2015</v>
      </c>
      <c r="B57" s="33">
        <v>130942.78019999999</v>
      </c>
      <c r="G57" s="16"/>
    </row>
    <row r="58" spans="1:7" x14ac:dyDescent="0.3">
      <c r="A58" s="39">
        <v>2016</v>
      </c>
      <c r="B58" s="33">
        <v>132113.36980000007</v>
      </c>
      <c r="G58" s="16"/>
    </row>
    <row r="59" spans="1:7" x14ac:dyDescent="0.3">
      <c r="A59" s="39">
        <v>2017</v>
      </c>
      <c r="B59" s="33">
        <v>133103.90699999989</v>
      </c>
      <c r="G59" s="16"/>
    </row>
    <row r="60" spans="1:7" x14ac:dyDescent="0.3">
      <c r="A60" s="39">
        <v>2018</v>
      </c>
      <c r="B60" s="33">
        <v>204522.25700000025</v>
      </c>
      <c r="G60" s="16"/>
    </row>
    <row r="61" spans="1:7" x14ac:dyDescent="0.3">
      <c r="A61" s="39">
        <v>2020</v>
      </c>
      <c r="B61" s="33">
        <v>129103.96039999987</v>
      </c>
      <c r="G61" s="16"/>
    </row>
    <row r="62" spans="1:7" x14ac:dyDescent="0.3">
      <c r="A62" s="36">
        <v>2022</v>
      </c>
      <c r="B62" s="34">
        <v>131477.77639999994</v>
      </c>
      <c r="G62" s="16"/>
    </row>
    <row r="63" spans="1:7" x14ac:dyDescent="0.3">
      <c r="A63" s="19"/>
      <c r="B63" s="20"/>
      <c r="C63" s="20"/>
      <c r="D63" s="20"/>
      <c r="E63" s="20"/>
      <c r="F63" s="20"/>
      <c r="G63" s="21"/>
    </row>
    <row r="66" spans="1:9" x14ac:dyDescent="0.3">
      <c r="A66" s="42"/>
      <c r="B66" s="43"/>
      <c r="C66" s="43"/>
      <c r="D66" s="43"/>
      <c r="E66" s="23"/>
    </row>
    <row r="67" spans="1:9" ht="21" x14ac:dyDescent="0.4">
      <c r="A67" s="56" t="s">
        <v>1626</v>
      </c>
      <c r="B67" s="57"/>
      <c r="E67" s="16"/>
    </row>
    <row r="68" spans="1:9" x14ac:dyDescent="0.3">
      <c r="A68" s="14" t="s">
        <v>1620</v>
      </c>
      <c r="B68" s="31" t="s">
        <v>1610</v>
      </c>
      <c r="E68" s="16"/>
    </row>
    <row r="69" spans="1:9" x14ac:dyDescent="0.3">
      <c r="A69" s="35" t="s">
        <v>30</v>
      </c>
      <c r="B69" s="32">
        <v>248991.58600000024</v>
      </c>
      <c r="E69" s="16"/>
    </row>
    <row r="70" spans="1:9" x14ac:dyDescent="0.3">
      <c r="A70" s="39" t="s">
        <v>15</v>
      </c>
      <c r="B70" s="33">
        <v>507895.7363999993</v>
      </c>
      <c r="E70" s="16"/>
    </row>
    <row r="71" spans="1:9" x14ac:dyDescent="0.3">
      <c r="A71" s="36" t="s">
        <v>26</v>
      </c>
      <c r="B71" s="34">
        <v>444794.17039999936</v>
      </c>
      <c r="E71" s="16"/>
    </row>
    <row r="72" spans="1:9" x14ac:dyDescent="0.3">
      <c r="A72" s="19"/>
      <c r="B72" s="20"/>
      <c r="C72" s="20"/>
      <c r="D72" s="20"/>
      <c r="E72" s="21"/>
    </row>
    <row r="75" spans="1:9" ht="21" x14ac:dyDescent="0.4">
      <c r="A75" s="45" t="s">
        <v>1628</v>
      </c>
      <c r="B75" s="46"/>
      <c r="C75" s="45"/>
      <c r="D75" s="43"/>
      <c r="E75" s="43"/>
      <c r="F75" s="43"/>
      <c r="G75" s="43"/>
      <c r="H75" s="43"/>
      <c r="I75" s="23"/>
    </row>
    <row r="76" spans="1:9" x14ac:dyDescent="0.3">
      <c r="A76" s="14" t="s">
        <v>1620</v>
      </c>
      <c r="B76" s="31" t="s">
        <v>1610</v>
      </c>
      <c r="D76" t="s">
        <v>1627</v>
      </c>
      <c r="E76" t="s">
        <v>1608</v>
      </c>
      <c r="I76" s="16"/>
    </row>
    <row r="77" spans="1:9" x14ac:dyDescent="0.3">
      <c r="A77" s="35" t="s">
        <v>21</v>
      </c>
      <c r="B77" s="32">
        <v>472133.03319999954</v>
      </c>
      <c r="D77" t="str">
        <f>A77</f>
        <v>Tier 3</v>
      </c>
      <c r="E77" s="47">
        <f>GETPIVOTDATA("Sales",$A$76,"Outlet Location Type",A77)</f>
        <v>472133.03319999954</v>
      </c>
      <c r="I77" s="16"/>
    </row>
    <row r="78" spans="1:9" x14ac:dyDescent="0.3">
      <c r="A78" s="39" t="s">
        <v>34</v>
      </c>
      <c r="B78" s="33">
        <v>393150.64759999956</v>
      </c>
      <c r="D78" t="str">
        <f t="shared" ref="D78:D79" si="0">A78</f>
        <v>Tier 2</v>
      </c>
      <c r="E78" s="47">
        <f t="shared" ref="E78:E79" si="1">GETPIVOTDATA("Sales",$A$76,"Outlet Location Type",A78)</f>
        <v>393150.64759999956</v>
      </c>
      <c r="I78" s="16"/>
    </row>
    <row r="79" spans="1:9" x14ac:dyDescent="0.3">
      <c r="A79" s="36" t="s">
        <v>14</v>
      </c>
      <c r="B79" s="34">
        <v>336397.81199999945</v>
      </c>
      <c r="D79" t="str">
        <f t="shared" si="0"/>
        <v>Tier 1</v>
      </c>
      <c r="E79" s="47">
        <f t="shared" si="1"/>
        <v>336397.81199999945</v>
      </c>
      <c r="I79" s="16"/>
    </row>
    <row r="80" spans="1:9" x14ac:dyDescent="0.3">
      <c r="A80" s="18"/>
      <c r="I80" s="16"/>
    </row>
    <row r="81" spans="1:9" x14ac:dyDescent="0.3">
      <c r="A81" s="18"/>
      <c r="I81" s="16"/>
    </row>
    <row r="82" spans="1:9" x14ac:dyDescent="0.3">
      <c r="A82" s="19"/>
      <c r="B82" s="20"/>
      <c r="C82" s="20"/>
      <c r="D82" s="20"/>
      <c r="E82" s="20"/>
      <c r="F82" s="20"/>
      <c r="G82" s="20"/>
      <c r="H82" s="20"/>
      <c r="I82" s="21"/>
    </row>
    <row r="84" spans="1:9" x14ac:dyDescent="0.3">
      <c r="A84" s="54" t="s">
        <v>1631</v>
      </c>
      <c r="B84" s="55"/>
      <c r="C84" s="55"/>
      <c r="D84" s="55"/>
      <c r="E84" s="43"/>
      <c r="F84" s="23"/>
    </row>
    <row r="85" spans="1:9" x14ac:dyDescent="0.3">
      <c r="A85" s="18"/>
      <c r="F85" s="16"/>
    </row>
    <row r="86" spans="1:9" x14ac:dyDescent="0.3">
      <c r="A86" s="14" t="s">
        <v>1620</v>
      </c>
      <c r="B86" s="31" t="s">
        <v>1610</v>
      </c>
      <c r="F86" s="16"/>
    </row>
    <row r="87" spans="1:9" x14ac:dyDescent="0.3">
      <c r="A87" s="35" t="s">
        <v>40</v>
      </c>
      <c r="B87" s="32">
        <v>151939.149</v>
      </c>
      <c r="F87" s="16"/>
    </row>
    <row r="88" spans="1:9" x14ac:dyDescent="0.3">
      <c r="A88" s="39" t="s">
        <v>46</v>
      </c>
      <c r="B88" s="33">
        <v>130714.67460000006</v>
      </c>
      <c r="F88" s="16"/>
    </row>
    <row r="89" spans="1:9" x14ac:dyDescent="0.3">
      <c r="A89" s="39" t="s">
        <v>22</v>
      </c>
      <c r="B89" s="33">
        <v>131477.77639999994</v>
      </c>
      <c r="F89" s="16"/>
    </row>
    <row r="90" spans="1:9" x14ac:dyDescent="0.3">
      <c r="A90" s="36" t="s">
        <v>16</v>
      </c>
      <c r="B90" s="34">
        <v>787549.89280000131</v>
      </c>
      <c r="F90" s="16"/>
    </row>
    <row r="91" spans="1:9" x14ac:dyDescent="0.3">
      <c r="A91" s="18"/>
      <c r="F91" s="16"/>
    </row>
    <row r="92" spans="1:9" x14ac:dyDescent="0.3">
      <c r="A92" s="18"/>
      <c r="F92" s="16"/>
    </row>
    <row r="93" spans="1:9" x14ac:dyDescent="0.3">
      <c r="A93" s="14" t="s">
        <v>1620</v>
      </c>
      <c r="B93" s="31" t="s">
        <v>1629</v>
      </c>
      <c r="F93" s="16"/>
    </row>
    <row r="94" spans="1:9" x14ac:dyDescent="0.3">
      <c r="A94" s="35" t="s">
        <v>40</v>
      </c>
      <c r="B94" s="48">
        <v>140.29468975069253</v>
      </c>
      <c r="F94" s="16"/>
    </row>
    <row r="95" spans="1:9" x14ac:dyDescent="0.3">
      <c r="A95" s="39" t="s">
        <v>46</v>
      </c>
      <c r="B95" s="49">
        <v>139.80179101604284</v>
      </c>
      <c r="F95" s="16"/>
    </row>
    <row r="96" spans="1:9" x14ac:dyDescent="0.3">
      <c r="A96" s="39" t="s">
        <v>22</v>
      </c>
      <c r="B96" s="49">
        <v>141.67863836206891</v>
      </c>
      <c r="F96" s="16"/>
    </row>
    <row r="97" spans="1:6" x14ac:dyDescent="0.3">
      <c r="A97" s="36" t="s">
        <v>16</v>
      </c>
      <c r="B97" s="50">
        <v>141.21389506903375</v>
      </c>
      <c r="F97" s="16"/>
    </row>
    <row r="98" spans="1:6" x14ac:dyDescent="0.3">
      <c r="A98" s="18"/>
      <c r="F98" s="16"/>
    </row>
    <row r="99" spans="1:6" x14ac:dyDescent="0.3">
      <c r="A99" s="18"/>
      <c r="F99" s="16"/>
    </row>
    <row r="100" spans="1:6" x14ac:dyDescent="0.3">
      <c r="A100" s="14" t="s">
        <v>1620</v>
      </c>
      <c r="B100" s="31" t="s">
        <v>1630</v>
      </c>
      <c r="F100" s="16"/>
    </row>
    <row r="101" spans="1:6" x14ac:dyDescent="0.3">
      <c r="A101" s="35" t="s">
        <v>40</v>
      </c>
      <c r="B101" s="51">
        <v>1083</v>
      </c>
      <c r="F101" s="16"/>
    </row>
    <row r="102" spans="1:6" x14ac:dyDescent="0.3">
      <c r="A102" s="39" t="s">
        <v>46</v>
      </c>
      <c r="B102" s="52">
        <v>935</v>
      </c>
      <c r="F102" s="16"/>
    </row>
    <row r="103" spans="1:6" x14ac:dyDescent="0.3">
      <c r="A103" s="39" t="s">
        <v>22</v>
      </c>
      <c r="B103" s="52">
        <v>928</v>
      </c>
      <c r="F103" s="16"/>
    </row>
    <row r="104" spans="1:6" x14ac:dyDescent="0.3">
      <c r="A104" s="36" t="s">
        <v>16</v>
      </c>
      <c r="B104" s="53">
        <v>5577</v>
      </c>
      <c r="F104" s="16"/>
    </row>
    <row r="105" spans="1:6" x14ac:dyDescent="0.3">
      <c r="A105" s="19"/>
      <c r="B105" s="20"/>
      <c r="C105" s="20"/>
      <c r="D105" s="20"/>
      <c r="E105" s="20"/>
      <c r="F105" s="21"/>
    </row>
  </sheetData>
  <mergeCells count="7">
    <mergeCell ref="A84:D84"/>
    <mergeCell ref="A67:B67"/>
    <mergeCell ref="A2:E2"/>
    <mergeCell ref="A12:D12"/>
    <mergeCell ref="A23:D23"/>
    <mergeCell ref="A31:D31"/>
    <mergeCell ref="A51:G51"/>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50FB8-7E5B-470B-A952-44FE71501664}">
  <sheetPr codeName="Sheet2"/>
  <dimension ref="AA14"/>
  <sheetViews>
    <sheetView showGridLines="0" zoomScale="80" zoomScaleNormal="80" workbookViewId="0">
      <selection activeCell="O39" sqref="O39"/>
    </sheetView>
  </sheetViews>
  <sheetFormatPr defaultRowHeight="15.6" x14ac:dyDescent="0.3"/>
  <sheetData>
    <row r="14" spans="27:27" ht="18" x14ac:dyDescent="0.35">
      <c r="AA14" s="4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M8524"/>
  <sheetViews>
    <sheetView tabSelected="1" topLeftCell="C8495" workbookViewId="0">
      <selection activeCell="I8505" sqref="I8505"/>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1612</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vishwakarmaanjali34930@gmail.com</cp:lastModifiedBy>
  <dcterms:created xsi:type="dcterms:W3CDTF">2024-06-23T13:11:17Z</dcterms:created>
  <dcterms:modified xsi:type="dcterms:W3CDTF">2026-10-12T05:27:04Z</dcterms:modified>
</cp:coreProperties>
</file>